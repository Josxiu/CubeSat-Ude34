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anj\Documents\Udea\Semestres\2026-2\Diseño de Productos Electrónicos\Laboratorios\Lab 3\Informe_v2\"/>
    </mc:Choice>
  </mc:AlternateContent>
  <xr:revisionPtr revIDLastSave="0" documentId="13_ncr:1_{2F12834C-A8A1-4593-84A7-F7FFC86D01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Índice" sheetId="1" r:id="rId1"/>
    <sheet name="Requisitos" sheetId="2" r:id="rId2"/>
    <sheet name="Especificaciones" sheetId="3" r:id="rId3"/>
    <sheet name="Trazabilidad" sheetId="4" r:id="rId4"/>
    <sheet name="D1 Procesamiento" sheetId="5" r:id="rId5"/>
    <sheet name="D2 Enlace" sheetId="6" r:id="rId6"/>
    <sheet name="D3 ADCS" sheetId="7" r:id="rId7"/>
    <sheet name="D4-D8 Cualitativas" sheetId="8" r:id="rId8"/>
    <sheet name="Supuestos órbita" sheetId="9" r:id="rId9"/>
    <sheet name="Presup. Potencia" sheetId="10" r:id="rId10"/>
    <sheet name="Presup. Datos" sheetId="11" r:id="rId11"/>
    <sheet name="Presup. Cómputo" sheetId="12" r:id="rId12"/>
    <sheet name="Balance Enlace" sheetId="13" r:id="rId13"/>
    <sheet name="Masa y Volumen" sheetId="14" r:id="rId14"/>
  </sheets>
  <definedNames>
    <definedName name="_xlnm._FilterDatabase" localSheetId="2" hidden="1">Especificaciones!$A$4:$G$34</definedName>
    <definedName name="_xlnm._FilterDatabase" localSheetId="1" hidden="1">Requisitos!$A$4:$G$42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4" l="1"/>
  <c r="B20" i="14" s="1"/>
  <c r="E10" i="14"/>
  <c r="E12" i="14" s="1"/>
  <c r="C23" i="13"/>
  <c r="C22" i="13"/>
  <c r="C21" i="13"/>
  <c r="B26" i="13" s="1"/>
  <c r="B27" i="13" s="1"/>
  <c r="B18" i="13"/>
  <c r="E11" i="12"/>
  <c r="F11" i="12" s="1"/>
  <c r="C10" i="12"/>
  <c r="C9" i="12"/>
  <c r="B9" i="12"/>
  <c r="E9" i="12" s="1"/>
  <c r="F9" i="12" s="1"/>
  <c r="B8" i="12"/>
  <c r="E8" i="12" s="1"/>
  <c r="F8" i="12" s="1"/>
  <c r="E7" i="12"/>
  <c r="F7" i="12" s="1"/>
  <c r="E6" i="12"/>
  <c r="F6" i="12" s="1"/>
  <c r="E5" i="12"/>
  <c r="F5" i="12" s="1"/>
  <c r="B38" i="11"/>
  <c r="B39" i="11" s="1"/>
  <c r="B29" i="11"/>
  <c r="D29" i="11" s="1"/>
  <c r="B28" i="11"/>
  <c r="D28" i="11" s="1"/>
  <c r="B23" i="11"/>
  <c r="B22" i="11"/>
  <c r="B12" i="11"/>
  <c r="B13" i="11" s="1"/>
  <c r="B11" i="11"/>
  <c r="B39" i="10"/>
  <c r="B40" i="10" s="1"/>
  <c r="B33" i="10"/>
  <c r="B4" i="10"/>
  <c r="B6" i="9"/>
  <c r="E10" i="7"/>
  <c r="D10" i="7"/>
  <c r="C10" i="7"/>
  <c r="B12" i="7" s="1"/>
  <c r="B10" i="7"/>
  <c r="B11" i="7" s="1"/>
  <c r="D11" i="6"/>
  <c r="C11" i="6"/>
  <c r="B13" i="6" s="1"/>
  <c r="B11" i="6"/>
  <c r="B12" i="6" s="1"/>
  <c r="D11" i="5"/>
  <c r="C11" i="5"/>
  <c r="B13" i="5" s="1"/>
  <c r="B11" i="5"/>
  <c r="B12" i="5" s="1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AG42" i="4"/>
  <c r="AH42" i="4" s="1"/>
  <c r="AG41" i="4"/>
  <c r="AH41" i="4" s="1"/>
  <c r="AG40" i="4"/>
  <c r="AH40" i="4" s="1"/>
  <c r="AG39" i="4"/>
  <c r="AH39" i="4" s="1"/>
  <c r="AG38" i="4"/>
  <c r="AH38" i="4" s="1"/>
  <c r="AG37" i="4"/>
  <c r="AH37" i="4" s="1"/>
  <c r="AG36" i="4"/>
  <c r="AH36" i="4" s="1"/>
  <c r="AG35" i="4"/>
  <c r="AH35" i="4" s="1"/>
  <c r="AG34" i="4"/>
  <c r="AH34" i="4" s="1"/>
  <c r="AG33" i="4"/>
  <c r="AH33" i="4" s="1"/>
  <c r="AG32" i="4"/>
  <c r="AH32" i="4" s="1"/>
  <c r="AG31" i="4"/>
  <c r="AH31" i="4" s="1"/>
  <c r="AG30" i="4"/>
  <c r="AH30" i="4" s="1"/>
  <c r="AG29" i="4"/>
  <c r="AH29" i="4" s="1"/>
  <c r="AG28" i="4"/>
  <c r="AH28" i="4" s="1"/>
  <c r="AG27" i="4"/>
  <c r="AH27" i="4" s="1"/>
  <c r="AG26" i="4"/>
  <c r="AH26" i="4" s="1"/>
  <c r="AG25" i="4"/>
  <c r="AH25" i="4" s="1"/>
  <c r="AG24" i="4"/>
  <c r="AH24" i="4" s="1"/>
  <c r="AG23" i="4"/>
  <c r="AH23" i="4" s="1"/>
  <c r="AG22" i="4"/>
  <c r="AH22" i="4" s="1"/>
  <c r="AG21" i="4"/>
  <c r="AH21" i="4" s="1"/>
  <c r="AG20" i="4"/>
  <c r="AH20" i="4" s="1"/>
  <c r="AG19" i="4"/>
  <c r="AH19" i="4" s="1"/>
  <c r="AG18" i="4"/>
  <c r="AH18" i="4" s="1"/>
  <c r="AG17" i="4"/>
  <c r="AH17" i="4" s="1"/>
  <c r="AG16" i="4"/>
  <c r="AH16" i="4" s="1"/>
  <c r="AG15" i="4"/>
  <c r="AH15" i="4" s="1"/>
  <c r="AG14" i="4"/>
  <c r="AG13" i="4"/>
  <c r="AH13" i="4" s="1"/>
  <c r="AG12" i="4"/>
  <c r="AH12" i="4" s="1"/>
  <c r="AG11" i="4"/>
  <c r="AH11" i="4" s="1"/>
  <c r="AG10" i="4"/>
  <c r="AH10" i="4" s="1"/>
  <c r="AG9" i="4"/>
  <c r="AH9" i="4" s="1"/>
  <c r="AG8" i="4"/>
  <c r="AH8" i="4" s="1"/>
  <c r="AG7" i="4"/>
  <c r="AH7" i="4" s="1"/>
  <c r="AG6" i="4"/>
  <c r="AH6" i="4" s="1"/>
  <c r="AG5" i="4"/>
  <c r="AH5" i="4" s="1"/>
  <c r="D23" i="13" l="1"/>
  <c r="D22" i="13"/>
  <c r="D21" i="13"/>
  <c r="B24" i="11"/>
  <c r="B14" i="11"/>
  <c r="B41" i="10"/>
  <c r="E47" i="4"/>
  <c r="E18" i="10"/>
  <c r="E16" i="10"/>
  <c r="E15" i="10"/>
  <c r="E14" i="10"/>
  <c r="D13" i="10"/>
  <c r="E13" i="10" s="1"/>
  <c r="D17" i="10"/>
  <c r="E17" i="10" s="1"/>
  <c r="B22" i="14"/>
  <c r="B23" i="14"/>
  <c r="E23" i="13"/>
  <c r="F23" i="13"/>
  <c r="G23" i="13"/>
  <c r="E22" i="13"/>
  <c r="F22" i="13"/>
  <c r="G22" i="13"/>
  <c r="E21" i="13"/>
  <c r="F21" i="13"/>
  <c r="G21" i="13"/>
  <c r="B35" i="11"/>
  <c r="B27" i="11"/>
  <c r="D27" i="11" s="1"/>
  <c r="D30" i="11" s="1"/>
  <c r="D31" i="11" s="1"/>
  <c r="E31" i="11" s="1"/>
  <c r="E12" i="10"/>
  <c r="E11" i="10"/>
  <c r="E46" i="4"/>
  <c r="AH14" i="4"/>
  <c r="B36" i="11" l="1"/>
  <c r="B10" i="12"/>
  <c r="E10" i="12" s="1"/>
  <c r="F10" i="12" s="1"/>
  <c r="E19" i="10"/>
  <c r="E20" i="10" l="1"/>
  <c r="E21" i="10"/>
  <c r="F11" i="10" l="1"/>
  <c r="F12" i="10"/>
  <c r="F13" i="10"/>
  <c r="F14" i="10"/>
  <c r="F15" i="10"/>
  <c r="F16" i="10"/>
  <c r="F17" i="10"/>
  <c r="F18" i="10"/>
  <c r="F24" i="10"/>
  <c r="G24" i="10" s="1"/>
  <c r="F25" i="10"/>
  <c r="G25" i="10" s="1"/>
  <c r="F26" i="10"/>
  <c r="G26" i="10" s="1"/>
  <c r="B34" i="10"/>
  <c r="B36" i="10"/>
  <c r="B37" i="10" s="1"/>
  <c r="B35" i="10" l="1"/>
  <c r="B38" i="10"/>
</calcChain>
</file>

<file path=xl/sharedStrings.xml><?xml version="1.0" encoding="utf-8"?>
<sst xmlns="http://schemas.openxmlformats.org/spreadsheetml/2006/main" count="1146" uniqueCount="743">
  <si>
    <t>CubeSat UD34 — Matrices, comparaciones y presupuestos (Práctica 3)</t>
  </si>
  <si>
    <t>Juan José Vásquez Urrutia · Jorge Andrés Urrea Franco — Diseño de Productos Electrónicos, UdeA, 2026-2</t>
  </si>
  <si>
    <t>Pestaña</t>
  </si>
  <si>
    <t>Contenido</t>
  </si>
  <si>
    <t>Sección del informe</t>
  </si>
  <si>
    <t>Requisitos</t>
  </si>
  <si>
    <t>Matriz de requisitos RF/RNF/RA/RN con origen, prioridad, método y criterio de aceptación.</t>
  </si>
  <si>
    <t>§2</t>
  </si>
  <si>
    <t>Especificaciones</t>
  </si>
  <si>
    <t>Especificaciones técnicas ET-01 a ET-29 con su requisito de origen.</t>
  </si>
  <si>
    <t>§3</t>
  </si>
  <si>
    <t>Trazabilidad</t>
  </si>
  <si>
    <t>Matriz requisito × especificación y conteo de cobertura por requisito (fórmulas).</t>
  </si>
  <si>
    <t>D1 Procesamiento</t>
  </si>
  <si>
    <t>Matriz ponderada: procesamiento centralizado vs. distribuido (fórmulas).</t>
  </si>
  <si>
    <t>§6.1</t>
  </si>
  <si>
    <t>D2 Enlace</t>
  </si>
  <si>
    <t>Matriz ponderada: un enlace UHF vs. UHF + banda S (fórmulas).</t>
  </si>
  <si>
    <t>§6.2</t>
  </si>
  <si>
    <t>D3 ADCS</t>
  </si>
  <si>
    <t>Matriz ponderada: actuadores de orientación, 3 alternativas (fórmulas).</t>
  </si>
  <si>
    <t>§6.3</t>
  </si>
  <si>
    <t>D4-D8 Cualitativas</t>
  </si>
  <si>
    <t>Comparación de la carga útil (D4) y decisiones de menor impacto (D5-D8).</t>
  </si>
  <si>
    <t>§6.4-6.5</t>
  </si>
  <si>
    <t>Supuestos órbita</t>
  </si>
  <si>
    <t>Parámetros de órbita y contacto que usan los presupuestos.</t>
  </si>
  <si>
    <t>§1.3, §10</t>
  </si>
  <si>
    <t>Presup. Potencia</t>
  </si>
  <si>
    <t>Potencia y energía por órbita, margen y casos de batería (fórmulas).</t>
  </si>
  <si>
    <t>§10.1</t>
  </si>
  <si>
    <t>Presup. Cómputo</t>
  </si>
  <si>
    <t>Uso de RAM, flash, SDRAM, eMMC, CPU y bus frente al margen del 50 % (fórmulas).</t>
  </si>
  <si>
    <t>§4.2</t>
  </si>
  <si>
    <t>Presup. Datos</t>
  </si>
  <si>
    <t>Volumen de datos, capacidad del enlace y almacenamiento (fórmulas).</t>
  </si>
  <si>
    <t>§10.3</t>
  </si>
  <si>
    <t>Balance Enlace</t>
  </si>
  <si>
    <t>Enlace UHF descendente y ascendente (fórmulas).</t>
  </si>
  <si>
    <t>§10.4</t>
  </si>
  <si>
    <t>Masa y Volumen</t>
  </si>
  <si>
    <t>Presupuesto de masa y altura del stack en Z (fórmulas).</t>
  </si>
  <si>
    <t>§10.5-10.6</t>
  </si>
  <si>
    <t>Cómo leer las celdas</t>
  </si>
  <si>
    <t>Texto azul</t>
  </si>
  <si>
    <t>Entrada: se puede cambiar (peso, calificación, potencia, pérdida, etc.).</t>
  </si>
  <si>
    <t>Texto negro</t>
  </si>
  <si>
    <t>Fórmula: se recalcula sola; no escribir encima.</t>
  </si>
  <si>
    <t>Relleno amarillo</t>
  </si>
  <si>
    <t>Dato que viene de otro cálculo (orbita.py, potencia.py, cobertura.py); si se rehace esa simulación, actualizarlo a mano.</t>
  </si>
  <si>
    <t>Verde / rojo</t>
  </si>
  <si>
    <t>Verificación automática: verde cumple el requisito o el margen, rojo no.</t>
  </si>
  <si>
    <t>Fuente del contenido: informe LaTeX v5 (latex_overleaf_v5/docs). Este archivo se genera con calculos/build_excel_v3.py; si cambian las tablas del informe, se puede volver a generar.</t>
  </si>
  <si>
    <t>Matriz de requisitos (§2)</t>
  </si>
  <si>
    <t>Método: I inspección, A análisis, D demostración, T ensayo.</t>
  </si>
  <si>
    <t>ID</t>
  </si>
  <si>
    <t>Tipo</t>
  </si>
  <si>
    <t>Requisito</t>
  </si>
  <si>
    <t>Origen / justificación</t>
  </si>
  <si>
    <t>Prioridad</t>
  </si>
  <si>
    <t>Método</t>
  </si>
  <si>
    <t>Criterio de aceptación</t>
  </si>
  <si>
    <t>RF-01</t>
  </si>
  <si>
    <t>Funcional</t>
  </si>
  <si>
    <t>El satélite deberá adquirir imágenes de la superficie en al menos una banda roja y una banda de infrarrojo cercano, registradas sobre la misma escena.</t>
  </si>
  <si>
    <t>Misión: índices de vegetación (NDVI requiere rojo y NIR) \refr0</t>
  </si>
  <si>
    <t>Alta</t>
  </si>
  <si>
    <t>T</t>
  </si>
  <si>
    <t>T: captura de un blanco con respuesta conocida en cada banda; se verifica que haya co-registro entre bandas.</t>
  </si>
  <si>
    <t>RF-02</t>
  </si>
  <si>
    <t>El satélite deberá almacenar a bordo las imágenes y la telemetría hasta que se descarguen o hasta que tierra ordene borrarlas.</t>
  </si>
  <si>
    <t>Hay pocos contactos (2.4 pasos/día) y son cortos</t>
  </si>
  <si>
    <t>D</t>
  </si>
  <si>
    <t>D: se captura, se apaga y enciende el sistema, y los archivos siguen íntegros (CRC).</t>
  </si>
  <si>
    <t>RF-03</t>
  </si>
  <si>
    <t>El satélite deberá transmitir telemetría y productos de imagen a la estación de Medellín.</t>
  </si>
  <si>
    <t>Misión</t>
  </si>
  <si>
    <t>T: enlace en banco con atenuador calibrado a la pérdida del peor caso (\srefsec:balance-enlace).</t>
  </si>
  <si>
    <t>RF-04</t>
  </si>
  <si>
    <t>El satélite deberá recibir, autenticar y ejecutar telecomandos desde tierra, incluidos los de reprogramar capturas y seleccionar regiones de interés (ROI).</t>
  </si>
  <si>
    <t>Operación remota; se evita ejecutar comandos no autorizados</t>
  </si>
  <si>
    <t>D: se rechazan comandos con autenticación inválida y se ejecutan los válidos.</t>
  </si>
  <si>
    <t>RF-05</t>
  </si>
  <si>
    <t>El satélite deberá determinar su actitud respecto al marco orbital.</t>
  </si>
  <si>
    <t>La cámara y los paneles dependen de la orientación \refr0</t>
  </si>
  <si>
    <t>A+T</t>
  </si>
  <si>
    <t>A + T: estimador con datos de sensores en mesa de Helmholtz o simulación HIL.</t>
  </si>
  <si>
    <t>RF-06</t>
  </si>
  <si>
    <t>El satélite deberá reducir su velocidad angular después del despliegue y orientar la cámara hacia nadir durante las capturas.</t>
  </si>
  <si>
    <t>Descripción del proyecto \refr0 (“reducir movimientos no deseados”, “orientar la cámara”)</t>
  </si>
  <si>
    <t>A</t>
  </si>
  <si>
    <t>A: simulación del lazo con los parámetros reales de los actuadores.</t>
  </si>
  <si>
    <t>RF-07</t>
  </si>
  <si>
    <t>El satélite deberá generar, almacenar, acondicionar y distribuir la energía eléctrica a todos los subsistemas.</t>
  </si>
  <si>
    <t>Descripción del proyecto \refr0; ECSS-E-ST-20C §5.2.2.1 \refr6</t>
  </si>
  <si>
    <t>T: operación en banco con simulador solar/fuente con curva I-V.</t>
  </si>
  <si>
    <t>RF-08</t>
  </si>
  <si>
    <t>El satélite deberá medir y reportar tensiones, corrientes y temperaturas de sus subsistemas.</t>
  </si>
  <si>
    <t>Descripción del proyecto \refr0 (telemetría)</t>
  </si>
  <si>
    <t>D: telemetría completa en la estación de prueba.</t>
  </si>
  <si>
    <t>RF-09</t>
  </si>
  <si>
    <t>El satélite deberá detectar sobrecorrientes y fallas de software y recuperarse de forma autónoma a un modo seguro.</t>
  </si>
  <si>
    <t>Latch-up y SEU en componentes COTS; no hay operador permanente</t>
  </si>
  <si>
    <t>T: se inyecta una sobrecorriente o se bloquea el software, y el sistema vuelve a modo seguro sin intervención.</t>
  </si>
  <si>
    <t>RF-10</t>
  </si>
  <si>
    <t>El satélite deberá desplegar su antena de forma autónoma después del tiempo mínimo exigido.</t>
  </si>
  <si>
    <t>Antena guardada durante el lanzamiento; CDS §2.4.4 \refr1</t>
  </si>
  <si>
    <t>T: despliegue en banco activado por el temporizador.</t>
  </si>
  <si>
    <t>RF-11</t>
  </si>
  <si>
    <t>El satélite deberá mantener una referencia de tiempo y ejecutar las capturas en una hora programada.</t>
  </si>
  <si>
    <t>La imagen se programa por posición orbital</t>
  </si>
  <si>
    <t>Media</t>
  </si>
  <si>
    <t>T: error de disparo respecto a la hora programada (ver ET-24).</t>
  </si>
  <si>
    <t>RNF-01</t>
  </si>
  <si>
    <t>No funcional</t>
  </si>
  <si>
    <t>La distancia de muestreo en tierra (GSD) deberá ser ≤ 50 m a 550 km.</t>
  </si>
  <si>
    <t>Analizar regiones y lotes grandes (una finca típica tiene 1–5 ha, 100–220 m de lado ≈ 2.5–5.5 px a 40 m). Es la escala de Landsat (30 m); más fino no cabe en 1U (\srefsec:especificaciones-tecnicas).</t>
  </si>
  <si>
    <t>A: GSD = h·p/f con los valores del sensor y la óptica elegidos; T: MTF en banco.</t>
  </si>
  <si>
    <t>RNF-02</t>
  </si>
  <si>
    <t>El ancho de franja deberá permitir que el objetivo quede dentro de la imagen con el error de apuntamiento especificado.</t>
  </si>
  <si>
    <t>Relaciona la carga útil con el ADCS (\srefsec:especificaciones-tecnicas)</t>
  </si>
  <si>
    <t>A: franja/2 − 10 km ≥ 550 km·tan(error de apuntamiento).</t>
  </si>
  <si>
    <t>RNF-03</t>
  </si>
  <si>
    <t>El sistema deberá poder bajar, en cada ciclo entre oportunidades de imagen, al menos una región de interés de 50 × 50 km en todas las bandas y sin pérdidas, más una vista previa de la pasada completa.</t>
  </si>
  <si>
    <t>Producto mínimo útil para el análisis experimental (\srefsec:datos-almacenamiento)</t>
  </si>
  <si>
    <t>A: presupuesto de datos (\srefsec:datos-almacenamiento); T: descarga completa con el enlace en banco.</t>
  </si>
  <si>
    <t>RNF-04</t>
  </si>
  <si>
    <t>El balance de energía por órbita en modo nominal deberá ser positivo, con un margen ≥ 10 % en el peor ángulo β.</t>
  </si>
  <si>
    <t>ECSS-E-ST-20C §5.2.2.2 \refr6; madurez de diseño preliminar</t>
  </si>
  <si>
    <t>A: presupuesto de energía (\srefsec:potencia-energia); T: consumo medido por modo.</t>
  </si>
  <si>
    <t>RNF-05</t>
  </si>
  <si>
    <t>Los procesadores deberán conservar ≥ 50 % de margen de memoria y de carga de CPU en esta etapa.</t>
  </si>
  <si>
    <t>ECSS-E-ST-20C §4.2.2.2b \refr6</t>
  </si>
  <si>
    <t>A: estimación \srefsec:estimacion-recursos; en P4, T: perfilado.</t>
  </si>
  <si>
    <t>RNF-06</t>
  </si>
  <si>
    <t>Los buses internos deberán conservar ≥ 50 % de margen sobre el throughput promedio.</t>
  </si>
  <si>
    <t>ECSS-E-ST-20C §4.2.2.2c \refr6</t>
  </si>
  <si>
    <t>A: \srefsec:estimacion-recursos.</t>
  </si>
  <si>
    <t>RNF-07</t>
  </si>
  <si>
    <t>Durante la captura, el error de apuntamiento a nadir deberá ser ≤ 4° y el conocimiento de la actitud ≤ 1°.</t>
  </si>
  <si>
    <t>Se deriva de RNF-02 con una franja de 104 km (\srefsec:especificaciones-tecnicas, ET-14)</t>
  </si>
  <si>
    <t>A: simulación del ADCS con los ruidos de los sensores elegidos.</t>
  </si>
  <si>
    <t>RNF-08</t>
  </si>
  <si>
    <t>La masa estimada con 20 % de margen de madurez deberá ser ≤ 2.00 kg.</t>
  </si>
  <si>
    <t>CDS Tabla 1 \refr1 y política de márgenes</t>
  </si>
  <si>
    <t>A: presupuesto de masa; T: pesaje.</t>
  </si>
  <si>
    <t>RNF-09</t>
  </si>
  <si>
    <t>El satélite deberá recuperarse de un reinicio por SEU o por el watchdog sin intervención desde tierra y sin perder la configuración.</t>
  </si>
  <si>
    <t>Operación autónoma entre pasos</t>
  </si>
  <si>
    <t>T: reinicio forzado; se verifica que la configuración persista (FRAM).</t>
  </si>
  <si>
    <t>RNF-10</t>
  </si>
  <si>
    <t>Deberá ser posible programar, depurar y cargar la batería con el satélite ensamblado.</t>
  </si>
  <si>
    <t>Pruebas e integración; la guía pide considerar la posibilidad de prueba \refr0</t>
  </si>
  <si>
    <t>I/D</t>
  </si>
  <si>
    <t>I/D: acceso por un conector umbilical.</t>
  </si>
  <si>
    <t>RA-01</t>
  </si>
  <si>
    <t>Ambiental</t>
  </si>
  <si>
    <t>La electrónica deberá operar entre −20 °C y +60 °C, y la batería solo deberá cargarse entre 0 °C y 45 °C.</t>
  </si>
  <si>
    <t>Rango interno típico de un 1U en LEO; límites de carga de las celdas Li-ion (hoja de datos de la celda)</t>
  </si>
  <si>
    <t>T: ciclo térmico o TVAC; D: inhibición de carga por debajo de 0 °C.</t>
  </si>
  <si>
    <t>RA-02</t>
  </si>
  <si>
    <t>El diseño deberá funcionar en vacío, sin depender de la convección para disipar calor, y sin componentes con electrolito líquido.</t>
  </si>
  <si>
    <t>Vacío orbital</t>
  </si>
  <si>
    <t>A: análisis térmico por conducción de los componentes que más disipan (PA del transceptor, convertidores).</t>
  </si>
  <si>
    <t>RA-03</t>
  </si>
  <si>
    <t>El hardware deberá tolerar un TID ≥ 2 veces la dosis de la misión y deberá protegerse contra latch-up (SEL) y upsets (SEU).</t>
  </si>
  <si>
    <t>Radiación en LEO; S-08</t>
  </si>
  <si>
    <t>A: TID con SPENVIS; T: prueba de los limitadores de corriente.</t>
  </si>
  <si>
    <t>RA-04</t>
  </si>
  <si>
    <t>La estructura y las tarjetas deberán soportar la vibración aleatoria del lanzador (referencia: GEVS, 14.1 Grms de calificación).</t>
  </si>
  <si>
    <t>CDS §3.1 \refr1; GSFC-STD-7000 \refr4</t>
  </si>
  <si>
    <t>T: vibración aleatoria (la define el proveedor del lanzamiento).</t>
  </si>
  <si>
    <t>RA-05</t>
  </si>
  <si>
    <t>La batería y las soldaduras deberán soportar 2700 ciclos térmicos de órbita (6 meses × 15 órbitas/día).</t>
  </si>
  <si>
    <t>Ciclo sol/eclipse</t>
  </si>
  <si>
    <t>A: profundidad de descarga por ciclo (\srefsec:potencia-energia) y ciclo de vida de la celda.</t>
  </si>
  <si>
    <t>RN-01</t>
  </si>
  <si>
    <t>Normativo</t>
  </si>
  <si>
    <t>Las dimensiones deberán cumplir el Apéndice B del CDS 1U, y ningún componente en las caras laterales podrá sobresalir más de 6.5 mm del plano del riel.</t>
  </si>
  <si>
    <t>CDS §2.2.1, §2.2.3 \refr1</t>
  </si>
  <si>
    <t>I</t>
  </si>
  <si>
    <t>I: medición según el CIFP.</t>
  </si>
  <si>
    <t>RN-02</t>
  </si>
  <si>
    <t>La masa deberá ser ≤ 2.00 kg y el centro de masa deberá quedar a ±2 cm del centro geométrico en X, Y y Z.</t>
  </si>
  <si>
    <t>CDS Tabla 1 y Tabla 2 \refr1</t>
  </si>
  <si>
    <t>T: pesaje y medición del CG.</t>
  </si>
  <si>
    <t>RN-03</t>
  </si>
  <si>
    <t>El satélite deberá tener al menos un interruptor de despliegue que desconecte la potencia mientras está en el dispensador, y un pin RBF que corte toda la potencia y sobresalga ≤ 6.5 mm. Si el interruptor cambia de estado y vuelve, los temporizadores deben reiniciarse.</t>
  </si>
  <si>
    <t>CDS §2.3.2, §2.3.5 \refr1</t>
  </si>
  <si>
    <t>I+T</t>
  </si>
  <si>
    <t>I + T.</t>
  </si>
  <si>
    <t>RN-04</t>
  </si>
  <si>
    <t>El satélite deberá tener ≥ 3 inhibidores independientes contra transmisión RF accidental (un temporizador no cuenta).</t>
  </si>
  <si>
    <t>CDS §2.3.7 \refr1</t>
  </si>
  <si>
    <t>I + T de cada inhibidor por separado.</t>
  </si>
  <si>
    <t>RN-05</t>
  </si>
  <si>
    <t>El satélite deberá tener ≥ 3 inhibidores independientes contra el despliegue accidental de la antena.</t>
  </si>
  <si>
    <t>CDS §2.3.8 \refr1</t>
  </si>
  <si>
    <t>RN-06</t>
  </si>
  <si>
    <t>Los desplegables esperarán ≥ 30 min y la transmisión RF ≥ 45 min después de la separación.</t>
  </si>
  <si>
    <t>CDS §2.4.4 y §2.4.5 \refr1</t>
  </si>
  <si>
    <t>T: temporizadores con simulación de eyección.</t>
  </si>
  <si>
    <t>RN-07</t>
  </si>
  <si>
    <t>La batería deberá tener protección de carga y descarga contra desbalance de celdas.</t>
  </si>
  <si>
    <t>CDS §2.3.6 \refr1</t>
  </si>
  <si>
    <t>T: prueba de OV/UV/OC y de balanceo.</t>
  </si>
  <si>
    <t>RN-08</t>
  </si>
  <si>
    <t>Los materiales deberán tener TML ≤ 1.0 % y CVCM ≤ 0.1 %.</t>
  </si>
  <si>
    <t>CDS §2.1.7 \refr1</t>
  </si>
  <si>
    <t>I: base de datos de outgassing de NASA; T: bakeout.</t>
  </si>
  <si>
    <t>RN-09</t>
  </si>
  <si>
    <t>Si hay RTC activo durante el lanzamiento, deberá estar aislado del bus principal, operar a &lt; 320 kHz y consumir &lt; 10 mA.</t>
  </si>
  <si>
    <t>CDS §2.3.3 \refr1</t>
  </si>
  <si>
    <t>RN-10</t>
  </si>
  <si>
    <t>Las frecuencias deberán coordinarse ante la IARU y licenciarse ante la UIT a través de la administración colombiana (MinTIC/ANE). La telemetría y los datos no podrán cifrarse; los telecomandos sí pueden autenticarse.</t>
  </si>
  <si>
    <t>CDS §2.4.1–2.4.2 \refr1; coordinación IARU \refr9; Reglamento de Radiocomunicaciones de la UIT, Art. 25 (25.2A) \refr10</t>
  </si>
  <si>
    <t>I: carta de coordinación IARU; revisión del formato de trama.</t>
  </si>
  <si>
    <t>RN-11</t>
  </si>
  <si>
    <t>El satélite deberá reentrar en ≤ 25 años y ningún componente deberá llegar a tierra con &gt; 15 J.</t>
  </si>
  <si>
    <t>CDS §2.4.3 / NPR 8715.6 \refr1</t>
  </si>
  <si>
    <t>A: NASA DAS o ESA DRAMA.</t>
  </si>
  <si>
    <t>RN-12</t>
  </si>
  <si>
    <t>Si se usan imanes permanentes, su campo no deberá superar 0.5 G sobre el campo terrestre fuera del volumen del satélite.</t>
  </si>
  <si>
    <t>CDS §2.1.8 \refr1</t>
  </si>
  <si>
    <t>Baja</t>
  </si>
  <si>
    <t>A/T</t>
  </si>
  <si>
    <t>A/T (aplica a la rueda y a imanes pasivos).</t>
  </si>
  <si>
    <t>38 requisitos: 11 funcionales, 10 no funcionales, 5 ambientales, 12 normativos.</t>
  </si>
  <si>
    <t>Especificaciones técnicas (§3)</t>
  </si>
  <si>
    <t>La columna "Req." indica de qué requisito se deriva cada especificación.</t>
  </si>
  <si>
    <t>Req.</t>
  </si>
  <si>
    <t>Parámetro</t>
  </si>
  <si>
    <t>Valor / rango / tolerancia</t>
  </si>
  <si>
    <t>Unidad</t>
  </si>
  <si>
    <t>Fundamento</t>
  </si>
  <si>
    <t>Verificación</t>
  </si>
  <si>
    <t>ET-01</t>
  </si>
  <si>
    <t>Bandas espectrales (centro/ancho)</t>
  </si>
  <si>
    <t>Verde 560/35, Rojo 665/30, Borde rojo 705/15, NIR 842/115</t>
  </si>
  <si>
    <t>nm</t>
  </si>
  <si>
    <t>Mismas bandas de Sentinel-2 (B3, B4, B5, B8) \refr11: permiten NDVI, GNDVI y NDRE, y comparar con datos públicos</t>
  </si>
  <si>
    <t>T: espectrofotómetro sobre el filtro</t>
  </si>
  <si>
    <t>ET-02</t>
  </si>
  <si>
    <t>GSD a nadir</t>
  </si>
  <si>
    <t>40 (≤ 50)</t>
  </si>
  <si>
    <t>m</t>
  </si>
  <si>
    <t>GSD = h·p/f = 550 km · 2.2 µm / 30 mm ≈ 40 m (f de ET-04)</t>
  </si>
  <si>
    <t>A + T (MTF)</t>
  </si>
  <si>
    <t>ET-03</t>
  </si>
  <si>
    <t>Sensor de imagen</t>
  </si>
  <si>
    <t>CMOS monocromo, ≥ 2592 × 1944 px, pitch 2.2 µm, sensibilidad NIR mejorada, salida MIPI CSI-2 (clase onsemi AR0522 \refr19)</t>
  </si>
  <si>
    <t>—</t>
  </si>
  <si>
    <t>Formato 5 MP disponible en versión monocroma NIR; 10 bit de resolución radiométrica. Obturador rolling: ver R-08</t>
  </si>
  <si>
    <t>I: hoja de datos</t>
  </si>
  <si>
    <t>ET-04</t>
  </si>
  <si>
    <t>Óptica</t>
  </si>
  <si>
    <t>f = 30 mm ±1 mm, f/2.8, longitud ≤ 30 mm</t>
  </si>
  <si>
    <t>mm</t>
  </si>
  <si>
    <t>Con f/2.8 el radio de Airy a 842 nm es de 2.9 µm (1.3 px), aceptable para NIR</t>
  </si>
  <si>
    <t>T: MTF en banco</t>
  </si>
  <si>
    <t>ET-05</t>
  </si>
  <si>
    <t>Ancho de franja</t>
  </si>
  <si>
    <t>104 (≥ 90)</t>
  </si>
  <si>
    <t>km</t>
  </si>
  <si>
    <t>2592 px × 40 m</t>
  </si>
  <si>
    <t>ET-06</t>
  </si>
  <si>
    <t>Separación de bandas</t>
  </si>
  <si>
    <t>Filtro de 4 franjas sobre el sensor (pushframe): 486 filas por banda; un cuadro cada 2.78 s (≤ 2.78 s)</t>
  </si>
  <si>
    <t>Con una sola óptica y un solo sensor se ahorra volumen (\srefsec:d4-tecnologia); el cuadro avanza 19.4 km</t>
  </si>
  <si>
    <t>ET-07</t>
  </si>
  <si>
    <t>Tiempo de exposición máximo</t>
  </si>
  <si>
    <t>≤ 2.9</t>
  </si>
  <si>
    <t>ms</t>
  </si>
  <si>
    <t>Arrastre ≤ 0.5 px con v_suelo = 6.98 km/s</t>
  </si>
  <si>
    <t>ET-08</t>
  </si>
  <si>
    <t>RF-02, RNF-05</t>
  </si>
  <si>
    <t>Buffer de imagen (RAM externa)</t>
  </si>
  <si>
    <t>≥ 40 (se elige 64)</t>
  </si>
  <si>
    <t>MB</t>
  </si>
  <si>
    <t>Doble cuadro a 16 bit/px = 20.2 MB; con uso ≤ 50 % (RNF-05) se necesitan ≥ 40 MB</t>
  </si>
  <si>
    <t>ET-09</t>
  </si>
  <si>
    <t>Almacenamiento masivo</t>
  </si>
  <si>
    <t>≥ 3.7 (se elige eMMC industrial de 8)</t>
  </si>
  <si>
    <t>GB</t>
  </si>
  <si>
    <t>10 pasadas × 183 MB = 1.83 GB, con uso ≤ 50 %</t>
  </si>
  <si>
    <t>A; T: escritura sostenida</t>
  </si>
  <si>
    <t>ET-10</t>
  </si>
  <si>
    <t>Compresión a bordo</t>
  </si>
  <si>
    <t>Sin pérdidas, ≥ 1.8:1 (CCSDS 123.0-B o JPEG-LS)</t>
  </si>
  <si>
    <t>Con 2:1, una ROI de 50 × 50 km en 4 bandas ocupa 3.9 MB</t>
  </si>
  <si>
    <t>T: con imágenes de prueba (TBD-02)</t>
  </si>
  <si>
    <t>ET-11</t>
  </si>
  <si>
    <t>RF-03, RNF-03</t>
  </si>
  <si>
    <t>Tasa del enlace descendente</t>
  </si>
  <si>
    <t>9.6 (elev. &lt; 15°) / 19.2 (elev. ≥ 15°), GMSK/GFSK + FEC</t>
  </si>
  <si>
    <t>kbps</t>
  </si>
  <si>
    <t>Balance de enlace \srefsec:balance-enlace: margen de +5.9 dB a 9.6 k y de +2.9 dB a 19.2 k a 10°</t>
  </si>
  <si>
    <t>T: BER en banco</t>
  </si>
  <si>
    <t>ET-12</t>
  </si>
  <si>
    <t>Frecuencia</t>
  </si>
  <si>
    <t>435–438</t>
  </si>
  <si>
    <t>MHz</t>
  </si>
  <si>
    <t>Banda de aficionados por satélite; estaciones terrenas baratas; coordinación IARU \refr9 (RN-10)</t>
  </si>
  <si>
    <t>ET-13</t>
  </si>
  <si>
    <t>Enlace ascendente</t>
  </si>
  <si>
    <t>435–438 MHz, ≥ 1.2 kbps, con autenticación HMAC</t>
  </si>
  <si>
    <t>Margen de +24.6 dB (\srefsec:balance-enlace)</t>
  </si>
  <si>
    <t>ET-14</t>
  </si>
  <si>
    <t>Error de apuntamiento a nadir durante la captura</t>
  </si>
  <si>
    <t>≤ 4</t>
  </si>
  <si>
    <t>°</t>
  </si>
  <si>
    <t>\srefsec:revision-coherencia punto 1</t>
  </si>
  <si>
    <t>A (simulación)</t>
  </si>
  <si>
    <t>ET-15</t>
  </si>
  <si>
    <t>RF-05, RNF-07</t>
  </si>
  <si>
    <t>Conocimiento de actitud</t>
  </si>
  <si>
    <t>≤ 1</t>
  </si>
  <si>
    <t>Georreferenciación inicial &lt; 10 km; la fina se hace en tierra</t>
  </si>
  <si>
    <t>ET-16</t>
  </si>
  <si>
    <t>Detumbling</t>
  </si>
  <si>
    <t>de 10 °/s a &lt; 0.5 °/s en ≤ 3 órbitas</t>
  </si>
  <si>
    <t>°/s</t>
  </si>
  <si>
    <t>Tasa típica tras la eyección</t>
  </si>
  <si>
    <t>A (simulación B-dot)</t>
  </si>
  <si>
    <t>ET-17</t>
  </si>
  <si>
    <t>Momento magnético por eje</t>
  </si>
  <si>
    <t>≥ 0.1</t>
  </si>
  <si>
    <t>A·m²</t>
  </si>
  <si>
    <t>Rango de los magnetorquers 1U COTS (clase EXA MT01 \refr14)</t>
  </si>
  <si>
    <t>T: bobina de Helmholtz</t>
  </si>
  <si>
    <t>ET-18</t>
  </si>
  <si>
    <t>Consumo del receptor UHF</t>
  </si>
  <si>
    <t>≤ 0.2</t>
  </si>
  <si>
    <t>W</t>
  </si>
  <si>
    <t>Rx continuo: 0.2 W × 1.59 h = 0.32 Wh ≈ 18 % de la generación (clase GomSpace AX100: 55 mA @ 3.3 V) \refr12</t>
  </si>
  <si>
    <t>ET-19</t>
  </si>
  <si>
    <t>Generación solar media por órbita (nadir, 4 caras)</t>
  </si>
  <si>
    <t>≥ 1.81 (β = 15°)</t>
  </si>
  <si>
    <t>Wh</t>
  </si>
  <si>
    <t>2 celdas de unión triple de 30.18 cm² por cara, η = 28 %, pérdidas 0.83, clase AZUR 3G30-Advanced \refr22 (potencia.py)</t>
  </si>
  <si>
    <t>A; T: simulador solar</t>
  </si>
  <si>
    <t>ET-20</t>
  </si>
  <si>
    <t>Batería</t>
  </si>
  <si>
    <t>2S1P Li-ion 18650, 7.2 V nominal; ventana de operación 6.4–8.4 V; ≥ 2.6 Ah, ≥ 18.7 Wh</t>
  </si>
  <si>
    <t>V, Wh</t>
  </si>
  <si>
    <t>Bus sin regular de 2S para la rueda y los magnetorquers. El motor de la rueda exige ≥ 6.4 V \refr15, por eso bajo 6.5 V se pasa a modo seguro. Celda de referencia: Panasonic NCR18650B \refr8, con herencia de vuelo (\refr5, Tabla 3-4)</t>
  </si>
  <si>
    <t>T: ciclador</t>
  </si>
  <si>
    <t>ET-21</t>
  </si>
  <si>
    <t>Rieles regulados</t>
  </si>
  <si>
    <t>3.3 V ±3 % @ ≥ 2 A (Tx UHF: 1.0 A pico, 3.3 W \refr12); 5.0 V ±3 % @ ≥ 1 A</t>
  </si>
  <si>
    <t>V, A</t>
  </si>
  <si>
    <t>Suma de picos por riel con 50 % de margen</t>
  </si>
  <si>
    <t>T: carga electrónica</t>
  </si>
  <si>
    <t>ET-22</t>
  </si>
  <si>
    <t>RF-08, RF-09, RA-03</t>
  </si>
  <si>
    <t>Protección de salidas</t>
  </si>
  <si>
    <t>Interruptor con límite de corriente, disparo &lt; 10 µs, reintento automático y medición de corriente por canal (≥ 8 canales)</t>
  </si>
  <si>
    <t>Mitigación de latch-up en COTS</t>
  </si>
  <si>
    <t>T: inyección de sobrecorriente</t>
  </si>
  <si>
    <t>ET-23</t>
  </si>
  <si>
    <t>Calefactor de batería</t>
  </si>
  <si>
    <t>1 W, control por termistor, encendido a &lt; 5 °C y apagado a &gt; 10 °C</t>
  </si>
  <si>
    <t>Carga solo por encima de 0 °C</t>
  </si>
  <si>
    <t>T: cámara fría</t>
  </si>
  <si>
    <t>ET-24</t>
  </si>
  <si>
    <t>Error de la hora de disparo</t>
  </si>
  <si>
    <t>≤ 100 ms (≈ 700 m en tierra)</t>
  </si>
  <si>
    <t>RTC + sincronización desde tierra en cada paso</t>
  </si>
  <si>
    <t>ET-25</t>
  </si>
  <si>
    <t>Bus de datos entre tarjetas</t>
  </si>
  <si>
    <t>CAN 2.0B/FD a 1 Mbps; uso ≤ 50 %</t>
  </si>
  <si>
    <t>Uso real del 4.3 % (\srefsec:estimacion-recursos)</t>
  </si>
  <si>
    <t>ET-26</t>
  </si>
  <si>
    <t>RNF-08, RN-02</t>
  </si>
  <si>
    <t>Masa total con margen</t>
  </si>
  <si>
    <t>≤ 1.23 (límite 2.00)</t>
  </si>
  <si>
    <t>kg</t>
  </si>
  <si>
    <t>\srefsec:masa</t>
  </si>
  <si>
    <t>T: pesaje</t>
  </si>
  <si>
    <t>ET-27</t>
  </si>
  <si>
    <t>RN-04, RN-05</t>
  </si>
  <si>
    <t>Inhibidores</t>
  </si>
  <si>
    <t>3 en serie para RF y 3 para el despliegue: los 2 kill switches de la estructura \refr25 en la trayectoria principal de potencia (batería y paneles) y un interruptor de carga abierto por defecto en el riel del transceptor (RF) y en el de la antena (despliegue); RBF adicional</t>
  </si>
  <si>
    <t>CDS §2.3.7–2.3.8: un inhibidor es un dispositivo físico entre la fuente y el peligro. El RBF no se cuenta porque puede retirarse antes de la integración (CDS §2.3.5.1)</t>
  </si>
  <si>
    <t>I + T</t>
  </si>
  <si>
    <t>ET-28</t>
  </si>
  <si>
    <t>RF-10, RN-06</t>
  </si>
  <si>
    <t>Temporizadores</t>
  </si>
  <si>
    <t>Despliegue de antena ≥ 30 min; RF ≥ 45 min; se reinician si cambia el kill switch (los lleva el MCU del EPS)</t>
  </si>
  <si>
    <t>min</t>
  </si>
  <si>
    <t>CDS §2.4.4–2.4.5</t>
  </si>
  <si>
    <t>ET-29</t>
  </si>
  <si>
    <t>RF-07, RNF-04</t>
  </si>
  <si>
    <t>Cargador solar</t>
  </si>
  <si>
    <t>MPPT elevador o buck-boost; entrada de 3.6–6 V (panel de 4.8 V), salida para 2S (8.4 V máx.), ≥ 1 A, límites de carga por temperatura</t>
  </si>
  <si>
    <t>El panel (Vmp ≈ 4.8 V) está por debajo de la batería (6.4–8.4 V), así que un cargador reductor no sirve (\srefsec:decisiones-menor, D5). Clase TI BQ25798 \refr20</t>
  </si>
  <si>
    <t>T: simulador solar</t>
  </si>
  <si>
    <t>ET-30</t>
  </si>
  <si>
    <t>Altura del stack dentro de la estructura</t>
  </si>
  <si>
    <t>≤ 98.4 (se usan 89)</t>
  </si>
  <si>
    <t>Altura interior de la estructura ISISPACE \refr25; reparto por capas en \srefsec:volumen</t>
  </si>
  <si>
    <t>I: modelo 3D (P6)</t>
  </si>
  <si>
    <t>Matriz de trazabilidad requisito × especificación (§3)</t>
  </si>
  <si>
    <t>X = la especificación se deriva del requisito (columna "Req." de la tabla de especificaciones).</t>
  </si>
  <si>
    <t>N.º de ET</t>
  </si>
  <si>
    <t>Cobertura</t>
  </si>
  <si>
    <t>X</t>
  </si>
  <si>
    <t>Requisitos por ET</t>
  </si>
  <si>
    <t>Resumen</t>
  </si>
  <si>
    <t>Requisitos con al menos una ET</t>
  </si>
  <si>
    <t>Especificaciones sin requisito de origen</t>
  </si>
  <si>
    <t>Los requisitos en gris no tienen una especificación numérica propia: el informe los trata como restricciones que se verifican directamente y pasan como reglas de diseño a P4-P6 (RN-01, RN-03, RN-07 a RN-12, RNF-09, RNF-10, RA-02, RA-04, RA-05).</t>
  </si>
  <si>
    <t>D1 Procesamiento — matriz ponderada (§6.1)</t>
  </si>
  <si>
    <t>Puntaje = Σ(peso × calificación) / 100. Calificación de 1 (malo) a 5 (excelente).</t>
  </si>
  <si>
    <t>Criterio</t>
  </si>
  <si>
    <t>Peso</t>
  </si>
  <si>
    <t>B</t>
  </si>
  <si>
    <t>Justificación</t>
  </si>
  <si>
    <t>Energía</t>
  </si>
  <si>
    <t>A deja encendidos todo el tiempo un M7 de 600 MHz + SDRAM (≈ 0.3–0.4 W). B lo hace con ≈ 0.1 W. La diferencia ( 0.25 W ≈ 0.4 Wh/órbita) es mayor que todo el margen de energía (0.2 Wh).</t>
  </si>
  <si>
    <t>Procesamiento e interfaces</t>
  </si>
  <si>
    <t>Los dos cumplen: la carga pesada es la misma, solo cambia dónde corre.</t>
  </si>
  <si>
    <t>Masa y volumen</t>
  </si>
  <si>
    <t>B agrega un procesador. Pero el sensor ya necesita su propia tarjeta junto a la óptica, así que el procesador se monta en esa misma tarjeta y el costo en volumen es bajo.</t>
  </si>
  <si>
    <t>Complejidad</t>
  </si>
  <si>
    <t>B necesita un protocolo entre procesadores (sobre el mismo CAN que ya existe).</t>
  </si>
  <si>
    <t>Riesgo y robustez</t>
  </si>
  <si>
    <t>En A, un SEU en la SDRAM o en la cadena de imagen puede tumbar el TT&amp;C (punto único de falla). En B, una falla de la carga útil deja vivo el OBC.</t>
  </si>
  <si>
    <t>Facilidad de prueba</t>
  </si>
  <si>
    <t>En B la carga útil se prueba por separado.</t>
  </si>
  <si>
    <t>Total ponderado</t>
  </si>
  <si>
    <t>Suma de pesos = 100</t>
  </si>
  <si>
    <t>Mayor puntaje</t>
  </si>
  <si>
    <t>Alternativas</t>
  </si>
  <si>
    <t>A. Centralizado</t>
  </si>
  <si>
    <t>Un solo procesador de alto desempeño (Cortex-M7 con CSI-2 y SDRAM), siempre encendido, que hace las funciones del OBC, del ADCS, de las comunicaciones y de la carga útil.</t>
  </si>
  <si>
    <t>B. Distribuido</t>
  </si>
  <si>
    <t>Un OBC de bajo consumo siempre encendido y un procesador de carga útil que el EPS enciende solo durante la captura y la descarga.</t>
  </si>
  <si>
    <t>Decisión</t>
  </si>
  <si>
    <t>B. El argumento principal es la energía: con A no se cumple RNF-04. Limitación: hay dos firmwares y una interfaz más que verificar.</t>
  </si>
  <si>
    <t>D2 Enlace — matriz ponderada (§6.2)</t>
  </si>
  <si>
    <t>Capacidad de datos</t>
  </si>
  <si>
    <t>A: 1.15 MB/día (1 ROI por ciclo). B: &gt; 50 MB por paso (la pasada completa).</t>
  </si>
  <si>
    <t>B: 13 W × 6.6 min ≈ 1.4 Wh por paso. Se puede con la batería, pero además exige ≥ 7 V y la batería 2S trabaja entre 6.4 y 8.4 V (se necesitaría un elevador).</t>
  </si>
  <si>
    <t>Volumen y masa</t>
  </si>
  <si>
    <t>B suma 14.5 mm de stack + un parche en −Z que compite con la óptica. Solo quedan unos 9 mm libres, así que no cabe sin quitar otra cosa.</t>
  </si>
  <si>
    <t>Complejidad y costo (incluye estación)</t>
  </si>
  <si>
    <t>B necesita una parábola con seguimiento de ≥ 1.2 m en Medellín y una interfaz LVDS. A funciona con una Yagi, un rotor y un SDR.</t>
  </si>
  <si>
    <t>Regulación</t>
  </si>
  <si>
    <t>A: banda de aficionados, datos abiertos (compatible con RN-10). B: 2200–2290 MHz es de investigación espacial/EESS y requiere registro ante la UIT sin la vía de aficionados.</t>
  </si>
  <si>
    <t>Riesgo</t>
  </si>
  <si>
    <t>B tiene más potencia disipada y más interfaces.</t>
  </si>
  <si>
    <t>A. Un enlace UHF</t>
  </si>
  <si>
    <t>Clase GomSpace AX100 [R12]: 24.5 g, recepción 0.18 W, transmisión 2.64 W, hasta 38.4 kbps. Telemetría, comandos y datos; se baja solo la ROI y la vista previa.</t>
  </si>
  <si>
    <t>B. UHF + banda S</t>
  </si>
  <si>
    <t>UHF para telemetría y comandos + transmisor en banda S clase ISIS TXS [R13]: 132 g, 13 W al transmitir, hasta 4.3 Mbps, 7-20 V, 98.8 × 93.3 × 14.5 mm.</t>
  </si>
  <si>
    <t>A. Limitación: se baja una muestra de cada pasada (ROI y vista previa), no la pasada completa; los datos crudos quedan a bordo (8 GB). Si en P6 hay más volumen, B es la mejora natural.</t>
  </si>
  <si>
    <t>D3 ADCS — matriz ponderada (§6.3)</t>
  </si>
  <si>
    <t>C</t>
  </si>
  <si>
    <t>Precisión frente a ≤ 4°</t>
  </si>
  <si>
    <t>A: ±10–15° (solo se controlan 2 ejes a la vez). B: ±2–5° con la rigidez giroscópica. C: &lt; 1°.</t>
  </si>
  <si>
    <t>+0.3 W (B) o +0.9 W (C). Con C el consumo sube a 2.7 Wh/órbita y supera la generación.</t>
  </si>
  <si>
    <t>B: 60 g, al lado del tubo de la óptica. C: 180 g y 3 ejes.</t>
  </si>
  <si>
    <t>Partes móviles.</t>
  </si>
  <si>
    <t>A. Solo magnetorquers</t>
  </si>
  <si>
    <t>3 magnetorquers (B-dot y apuntamiento magnético).</t>
  </si>
  <si>
    <t>B. Magnetorquers + 1 rueda</t>
  </si>
  <si>
    <t>3 magnetorquers y 1 rueda de momento en pitch (clase CubeSpace CW0017 [R15]: 60 g, 1.77 mNms, 0.3 W).</t>
  </si>
  <si>
    <t>C. Magnetorquers + 3 ruedas</t>
  </si>
  <si>
    <t>3 magnetorquers y 3 ruedas de reacción.</t>
  </si>
  <si>
    <t>B, aunque A tiene más puntaje: A no cumple RNF-07 (apuntamiento ≤ 4°), que es esencial, así que se descarta antes de ponderar. El puntaje apoya la decisión pero no reemplaza esa verificación. Limitación: roll y yaw dependen de los magnetorquers (riesgo R-02).</t>
  </si>
  <si>
    <t>Comparaciones cualitativas (§6.4 y §6.5)</t>
  </si>
  <si>
    <t>Decisiones con una alternativa claramente mejor; se justifican sin matriz ponderada.</t>
  </si>
  <si>
    <t>D4 — Tecnología de la carga útil multiespectral</t>
  </si>
  <si>
    <t>Opción</t>
  </si>
  <si>
    <t>Ventajas</t>
  </si>
  <si>
    <t>Desventajas</t>
  </si>
  <si>
    <t>A. Dos cámaras (RGB Bayer + mono NIR)</t>
  </si>
  <si>
    <t>Captura simultánea, SW simple</t>
  </si>
  <si>
    <t>Dos ópticas: 2× volumen en −Z; dos puertos CSI; el filtro Bayer tiene bandas anchas y sin borde rojo</t>
  </si>
  <si>
    <t>B. Un sensor mono + filtro de 4 franjas (pushframe)</t>
  </si>
  <si>
    <t>Una sola óptica y un solo CSI-2, bandas definidas por diseño; mismo principio que SuperDove de Planet \refr23</t>
  </si>
  <si>
    <t>Requiere actitud estable durante toda la captura ( 70 s) y co-registro en tierra; el filtro es una pieza a medida (TBD-03); obturador rolling (R-08)</t>
  </si>
  <si>
    <t>Se elige</t>
  </si>
  <si>
    <t>C. Sensor con mosaico espectral por píxel</t>
  </si>
  <si>
    <t>Una óptica, captura simultánea</t>
  </si>
  <si>
    <t>Poca oferta, pierde resolución (4 px por muestra), costoso</t>
  </si>
  <si>
    <t>D. Cámara multiespectral comercial completa (p. ej. Simera MultiScape50)</t>
  </si>
  <si>
    <t>Producto probado en vuelo, 8 bandas, 30 m a 500 km \refr24</t>
  </si>
  <si>
    <t>Ocupa 1U por sí sola: no deja espacio para EPS, OBC ni batería; costo alto</t>
  </si>
  <si>
    <t>D5-D8 — Decisiones de menor impacto</t>
  </si>
  <si>
    <t>Selección y razón</t>
  </si>
  <si>
    <t>D5 Arquitectura de potencia</t>
  </si>
  <si>
    <t>(a) Transferencia directa (DET) con bus regulado; (b) MPPT + bus de batería sin regular + convertidores POL</t>
  </si>
  <si>
    <t>(b): la tensión del panel (2 celdas ≈ 4.8 V) no coincide con la de la batería 2S (6.4–8.4 V), así que DET no sirve sin cambiar el arreglo y los cargadores deben ser elevadores o buck-boost (ET-29); el MPPT recupera la pérdida por temperatura y ángulo. Unir ±X y ±Y por diodo usa 2 cargadores, porque caras opuestas nunca están iluminadas a la vez.</t>
  </si>
  <si>
    <t>D6 Bus interno</t>
  </si>
  <si>
    <t>(a) I2C compartido; (b) CAN entre tarjetas + I2C/SPI solo dentro de cada tarjeta</t>
  </si>
  <si>
    <t>(b): un esclavo I2C colgado bloquea todo el bus (modo de falla conocido en CubeSats); CAN es diferencial, multimaestro y con CRC, y el transceptor y la rueda ya lo soportan.</t>
  </si>
  <si>
    <t>D7 División en PCBs</t>
  </si>
  <si>
    <t>(a) 4 tarjetas (EPS, OBC/ADCS, COM, carga útil); (b) 3 tarjetas (EPS, OBC/ADCS/COM, carga útil)</t>
  </si>
  <si>
    <t>(b): con 4 tarjetas, el stack mide 104 mm y no cabe en los 98.4 mm interiores. El transceptor es un módulo hija de 6.5 mm que va sobre la tarjeta del OBC (\srefsec:arquitectura-seleccionada). Tampoco se usan 2 tarjetas (el mínimo del proyecto \refr0): las líneas MIPI y la SDRAM deben quedar pegadas al sensor, bajo la óptica, lejos del OBC.</t>
  </si>
  <si>
    <t>D8 Paneles solares</t>
  </si>
  <si>
    <t>(a) Fijos en las 4 caras laterales; (b) desplegables</t>
  </si>
  <si>
    <t>(a): con paneles fijos ya se cumple RNF-04 (margen del 11 % en el peor caso). Los desplegables agregarían bisagras y otro mecanismo de retención con sus 3 inhibidores (RN-05), el riesgo de que no abran y un cambio en la inercia que controla el ADCS. Si en P6 se necesita más energía, son la mejora natural.</t>
  </si>
  <si>
    <t>Supuestos de órbita y contacto</t>
  </si>
  <si>
    <t>Datos de simulación (orbita.py, cobertura.py). Las hojas de presupuestos toman los valores de aquí.</t>
  </si>
  <si>
    <t>Valor</t>
  </si>
  <si>
    <t>Fuente</t>
  </si>
  <si>
    <t>Periodo orbital T_orb</t>
  </si>
  <si>
    <t>SSO 550 km (orbita.py)</t>
  </si>
  <si>
    <t>Órbitas por día</t>
  </si>
  <si>
    <t>órb./día</t>
  </si>
  <si>
    <t>fórmula</t>
  </si>
  <si>
    <t>Eclipse, peor caso (β = 15°)</t>
  </si>
  <si>
    <t>sombra cilíndrica (orbita.py)</t>
  </si>
  <si>
    <t>Contacto total sobre Medellín</t>
  </si>
  <si>
    <t>min/día</t>
  </si>
  <si>
    <t>elevación ≥ 10°, simulación de 30 días (orbita.py)</t>
  </si>
  <si>
    <t>Pasos por día</t>
  </si>
  <si>
    <t>pasos/día</t>
  </si>
  <si>
    <t>elevación ≥ 10° (orbita.py)</t>
  </si>
  <si>
    <t>Duración máxima de un paso</t>
  </si>
  <si>
    <t>paso cenital (orbita.py)</t>
  </si>
  <si>
    <t>Fracción del contacto sobre 15° de elevación</t>
  </si>
  <si>
    <t>orbita.py (11.1 de 15.6 min)</t>
  </si>
  <si>
    <t>Días entre oportunidades de imagen</t>
  </si>
  <si>
    <t>días</t>
  </si>
  <si>
    <t>33 días en 180 (cobertura.py)</t>
  </si>
  <si>
    <t>Altura orbital</t>
  </si>
  <si>
    <t>guía de la práctica [R0]</t>
  </si>
  <si>
    <t>Presupuesto de potencia y energía por órbita (§10.1)</t>
  </si>
  <si>
    <t>Energía = P nominal × ciclo × T_orb. Consumo total = Σ energía / η + autoconsumo del EPS.</t>
  </si>
  <si>
    <t>T_orb (h)</t>
  </si>
  <si>
    <t>Eficiencia de conversión η</t>
  </si>
  <si>
    <t>Autoconsumo del EPS (W)</t>
  </si>
  <si>
    <t>Fracción del paso transmitiendo</t>
  </si>
  <si>
    <t>Carga útil encendida por oportunidad (min)</t>
  </si>
  <si>
    <t>Subsistema</t>
  </si>
  <si>
    <t>P nominal (W)</t>
  </si>
  <si>
    <t>P máxima (W)</t>
  </si>
  <si>
    <t>Ciclo de actividad</t>
  </si>
  <si>
    <t>Energía (Wh/órbita)</t>
  </si>
  <si>
    <t>% del consumo</t>
  </si>
  <si>
    <t>Fuente / nota</t>
  </si>
  <si>
    <t>OBC (Cortex-M33/M4F + FRAM + NOR)</t>
  </si>
  <si>
    <t>Clase STM32U575 [R21], ≈ 0.1 W con sus memorias</t>
  </si>
  <si>
    <t>Transceptor UHF — Rx</t>
  </si>
  <si>
    <t>AX100: 55 mA @ 3.3 V [R12]</t>
  </si>
  <si>
    <t>Transceptor UHF — Tx (1 W RF)</t>
  </si>
  <si>
    <t>AX100: 800 mA @ 3.3 V [R12]; ciclo = contacto × fracción en Tx / órbitas por día / T_orb</t>
  </si>
  <si>
    <t>ADCS — sensores</t>
  </si>
  <si>
    <t>RM3100 (~1 mW) [R27] + ISM330DHCX (~4 mW) [R28] + fotodiodos y ADC; 0.1 W con margen</t>
  </si>
  <si>
    <t>ADCS — 3 magnetorquers</t>
  </si>
  <si>
    <t>EXA MT01 [R14]</t>
  </si>
  <si>
    <t>ADCS — rueda de momento</t>
  </si>
  <si>
    <t>CubeSpace CW0017 [R15]: 0.3 W estable, 0.85 W pico</t>
  </si>
  <si>
    <t>Carga útil (sensor + PPU + SDRAM + eMMC)</t>
  </si>
  <si>
    <t>AR0522 [R19] + i.MX RT1170 [R16]; ciclo = min encendida / (días entre oportunidades × órbitas/día) / T_orb</t>
  </si>
  <si>
    <t>Calefactor de batería (nominal)</t>
  </si>
  <si>
    <t>ET-23; solo entra en el peor caso (ver abajo)</t>
  </si>
  <si>
    <t>Suma de cargas</t>
  </si>
  <si>
    <t>Pérdidas de conversión + autoconsumo EPS (incluye su MCU)</t>
  </si>
  <si>
    <t>Consumo total por órbita</t>
  </si>
  <si>
    <t>Generación solar (nadir, 4 caras)</t>
  </si>
  <si>
    <t>Generación (Wh/órbita)</t>
  </si>
  <si>
    <t>Margen</t>
  </si>
  <si>
    <t>Verificación RNF-04 (margen ≥ 10 %)</t>
  </si>
  <si>
    <t>β = 15° (peor caso)</t>
  </si>
  <si>
    <t>β = 22°</t>
  </si>
  <si>
    <t>β = 30°</t>
  </si>
  <si>
    <t>La generación (amarillo) sale de potencia.py: 2 celdas AZUR 3G30 de 30.18 cm² por cara, η = 28 %, pérdidas 0.83, integrando el ángulo del Sol en la órbita. Si cambian celdas o área, correr potencia.py y actualizar estas tres celdas.</t>
  </si>
  <si>
    <t>Casos que definen la batería</t>
  </si>
  <si>
    <t>Nota</t>
  </si>
  <si>
    <t>Celdas en serie</t>
  </si>
  <si>
    <t>entrada</t>
  </si>
  <si>
    <t>Tensión nominal por celda</t>
  </si>
  <si>
    <t>V</t>
  </si>
  <si>
    <t>Capacidad de la celda</t>
  </si>
  <si>
    <t>Ah</t>
  </si>
  <si>
    <t>entrada — clase Panasonic NCR18650B [R8]</t>
  </si>
  <si>
    <t>Energía de la batería</t>
  </si>
  <si>
    <t>Energía en eclipse (nominal)</t>
  </si>
  <si>
    <t>Profundidad de descarga en eclipse</t>
  </si>
  <si>
    <t>Consumo en la peor órbita</t>
  </si>
  <si>
    <t>paso completo en Tx + carga útil + calefactor el 20 % del eclipse</t>
  </si>
  <si>
    <t>Déficit en la peor órbita (vs. β = 15°)</t>
  </si>
  <si>
    <t>lo cubre la batería; se recupera en las órbitas siguientes</t>
  </si>
  <si>
    <t>Profundidad de descarga en la peor órbita</t>
  </si>
  <si>
    <t>Potencia en modo seguro</t>
  </si>
  <si>
    <t>OBC + Rx + sensores + magnetorquers; sin rueda ni carga útil</t>
  </si>
  <si>
    <t>Energía por órbita en modo seguro</t>
  </si>
  <si>
    <t>con el satélite girando se generan ≈ 1.94 Wh/órbita (potencia.py)</t>
  </si>
  <si>
    <t>Autonomía solo con batería (DoD 80 %)</t>
  </si>
  <si>
    <t>h</t>
  </si>
  <si>
    <t>La batería no se dimensiona por capacidad (la descarga por ciclo es pequeña) sino por la tensión del bus 2S (motor de la rueda ≥ 6.4 V [R15]), la corriente de pico y la herencia de vuelo de la celda.</t>
  </si>
  <si>
    <t>Presupuesto de datos, enlace y almacenamiento (§10.3)</t>
  </si>
  <si>
    <t>Todo se recalcula a partir de las celdas azules.</t>
  </si>
  <si>
    <t>Cámara y adquisición</t>
  </si>
  <si>
    <t>Píxeles por fila (nx)</t>
  </si>
  <si>
    <t>px</t>
  </si>
  <si>
    <t>AR0522 [R19]</t>
  </si>
  <si>
    <t>Filas (ny)</t>
  </si>
  <si>
    <t>Bits por píxel</t>
  </si>
  <si>
    <t>bit</t>
  </si>
  <si>
    <t>Bandas (franjas del filtro)</t>
  </si>
  <si>
    <t>ET-01, ET-06</t>
  </si>
  <si>
    <t>GSD</t>
  </si>
  <si>
    <t>Recorrido N-S sobre la zona cafetera</t>
  </si>
  <si>
    <t>S-04 (1.5-5.8° N aprox.)</t>
  </si>
  <si>
    <t>Tamaño de un cuadro</t>
  </si>
  <si>
    <t>Avance por franja de banda</t>
  </si>
  <si>
    <t>un cuadro cada franja (pushframe)</t>
  </si>
  <si>
    <t>Cuadros por oportunidad</t>
  </si>
  <si>
    <t>cuadros</t>
  </si>
  <si>
    <t>Datos crudos por oportunidad</t>
  </si>
  <si>
    <t>Compresión sin pérdidas</t>
  </si>
  <si>
    <t>x:1</t>
  </si>
  <si>
    <t>TBD-02 (se exige ≥ 1.8:1)</t>
  </si>
  <si>
    <t>Lado de la ROI</t>
  </si>
  <si>
    <t>Decimación de la vista previa</t>
  </si>
  <si>
    <t>×</t>
  </si>
  <si>
    <t>por lado</t>
  </si>
  <si>
    <t>Capacidad del enlace</t>
  </si>
  <si>
    <t>Eficiencia de protocolo (tramas, FEC, reintentos)</t>
  </si>
  <si>
    <t>Fracción de pasos que se usan</t>
  </si>
  <si>
    <t>Capacidad a 9.6 kbps</t>
  </si>
  <si>
    <t>MB/día</t>
  </si>
  <si>
    <t>Capacidad a 19.2 kbps</t>
  </si>
  <si>
    <t>Capacidad con tasa adaptativa</t>
  </si>
  <si>
    <t>19.2 kbps sobre 15° de elevación, 9.6 kbps por debajo</t>
  </si>
  <si>
    <t>Fuente de datos (a bajar)</t>
  </si>
  <si>
    <t>Por adquisición (MB)</t>
  </si>
  <si>
    <t>Por día (MB/día)</t>
  </si>
  <si>
    <t>Vista previa de la pasada</t>
  </si>
  <si>
    <t>1 por pasada</t>
  </si>
  <si>
    <t>ROI sin pérdidas, todas las bandas</t>
  </si>
  <si>
    <t>Telemetría de misión (64 B/min)</t>
  </si>
  <si>
    <t>continua</t>
  </si>
  <si>
    <t>Total a bajar</t>
  </si>
  <si>
    <t>Margen del enlace (capacidad adaptativa vs. total)</t>
  </si>
  <si>
    <t>Almacenamiento y memoria</t>
  </si>
  <si>
    <t>Pasadas crudas que se guardan a bordo</t>
  </si>
  <si>
    <t>Almacenamiento requerido</t>
  </si>
  <si>
    <t>Con 50 % de margen (ECSS)</t>
  </si>
  <si>
    <t>eMMC elegida</t>
  </si>
  <si>
    <t>Buffer de imagen: doble cuadro a 16 bit</t>
  </si>
  <si>
    <t>SDRAM mínima con 50 % de margen</t>
  </si>
  <si>
    <t>SDRAM elegida</t>
  </si>
  <si>
    <t>Presupuesto de procesamiento, memoria y buses (§4.2)</t>
  </si>
  <si>
    <t>RNF-05 y RNF-06 (ECSS-E-ST-20C §4.2.2.2): uso ≤ 50 % de lo disponible en esta etapa.</t>
  </si>
  <si>
    <t>Recurso</t>
  </si>
  <si>
    <t>Uso estimado</t>
  </si>
  <si>
    <t>Disponible</t>
  </si>
  <si>
    <t>Uso</t>
  </si>
  <si>
    <t>Base de la estimación</t>
  </si>
  <si>
    <t>OBC — RAM</t>
  </si>
  <si>
    <t>KB</t>
  </si>
  <si>
    <t>RTOS, pilas, buffers CSP y telemetría; STM32U575 [R21]: 786 KB</t>
  </si>
  <si>
    <t>OBC — flash de programa</t>
  </si>
  <si>
    <t>código de vuelo estimado; STM32U575: 2 MB</t>
  </si>
  <si>
    <t>OBC — carga de CPU</t>
  </si>
  <si>
    <t>%</t>
  </si>
  <si>
    <t>EKF de 7 estados a 1 Hz + TT&amp;C + housekeeping en un Cortex-M4F a 80 MHz</t>
  </si>
  <si>
    <t>OBC — NOR de telemetría</t>
  </si>
  <si>
    <t>telemetría de 6 meses (64 B/min ≈ 16.9 MB) + 2 imágenes de firmware de ~0.3 MB</t>
  </si>
  <si>
    <t>PPU — SDRAM</t>
  </si>
  <si>
    <t>doble cuadro a 16 bit (Presup. Datos)</t>
  </si>
  <si>
    <t>PPU — eMMC</t>
  </si>
  <si>
    <t>10 pasadas crudas (Presup. Datos)</t>
  </si>
  <si>
    <t>Bus CAN entre tarjetas</t>
  </si>
  <si>
    <t>descarga de imagen; CAN 1 Mbps ≈ 450 kbps útiles con tramas de 8 bytes</t>
  </si>
  <si>
    <t>Los valores "disponible" corresponden a los procesadores de referencia (STM32U575 para el OBC, i.MX RT1170 con SDRAM y eMMC externas para la carga útil); se confirman en P4 (TBD-01).</t>
  </si>
  <si>
    <t>Balance de enlace UHF, 436 MHz (§10.4)</t>
  </si>
  <si>
    <t>C/N0 = PIRE − pérdidas − FSPL + G/T − k. Margen = C/N0 − 10·log(R) − Eb/N0 requerido.</t>
  </si>
  <si>
    <t>Supuesto</t>
  </si>
  <si>
    <t>Potencia de transmisión del satélite</t>
  </si>
  <si>
    <t>dBW</t>
  </si>
  <si>
    <t>Ganancia de la antena del satélite</t>
  </si>
  <si>
    <t>dBi</t>
  </si>
  <si>
    <t>Pérdida de línea</t>
  </si>
  <si>
    <t>dB</t>
  </si>
  <si>
    <t>Pérdida de polarización</t>
  </si>
  <si>
    <t>Atmósfera + centelleo ionosférico</t>
  </si>
  <si>
    <t>Pérdida de apuntamiento</t>
  </si>
  <si>
    <t>Ganancia de la estación (Yagi cruzada)</t>
  </si>
  <si>
    <t>dBic</t>
  </si>
  <si>
    <t>Temperatura de ruido del sistema</t>
  </si>
  <si>
    <t>K</t>
  </si>
  <si>
    <t>Eb/N0 requerido (GFSK + FEC)</t>
  </si>
  <si>
    <t>Constante de Boltzmann</t>
  </si>
  <si>
    <t>dBW/K/Hz</t>
  </si>
  <si>
    <t>Potencia del transmisor en tierra</t>
  </si>
  <si>
    <t>Sensibilidad del receptor del satélite</t>
  </si>
  <si>
    <t>dBm @ 5 kbaud</t>
  </si>
  <si>
    <t>G/T de la estación</t>
  </si>
  <si>
    <t>dB/K</t>
  </si>
  <si>
    <t>Elevación</t>
  </si>
  <si>
    <t>Distancia (km)</t>
  </si>
  <si>
    <t>FSPL (dB)</t>
  </si>
  <si>
    <t>C/N0 (dBHz)</t>
  </si>
  <si>
    <t>Margen 9.6 kbps</t>
  </si>
  <si>
    <t>Margen 19.2 kbps</t>
  </si>
  <si>
    <t>Margen 38.4 kbps</t>
  </si>
  <si>
    <t>10°</t>
  </si>
  <si>
    <t>30°</t>
  </si>
  <si>
    <t>90° (cenit)</t>
  </si>
  <si>
    <t>Enlace ascendente (a 10° de elevación)</t>
  </si>
  <si>
    <t>Potencia recibida en el satélite</t>
  </si>
  <si>
    <t>dBm</t>
  </si>
  <si>
    <t>Margen sobre la sensibilidad</t>
  </si>
  <si>
    <t>Distancias (amarillo) para 550 km de altura; la de 10° es el rango máximo del contacto (orbita.py). Verde = el enlace cierra a esa tasa. El informe usa 19.2 kbps sobre ~15° y 9.6 kbps por debajo; 38.4 kbps no deja margen cerca del horizonte.</t>
  </si>
  <si>
    <t>Presupuesto de masa y volumen (§10.5 y §10.6)</t>
  </si>
  <si>
    <t>Elemento</t>
  </si>
  <si>
    <t>Masa (g)</t>
  </si>
  <si>
    <t>Elemento (a lo largo de Z)</t>
  </si>
  <si>
    <t>Altura (mm)</t>
  </si>
  <si>
    <t>Estructura 1U ISISPACE, primaria + secundaria [R25]</t>
  </si>
  <si>
    <t>Antena UHF ISISPACE guardada (+Z) [R26]</t>
  </si>
  <si>
    <t>Arnés, conectores y tornillería adicional</t>
  </si>
  <si>
    <t>PCB-1 EPS + baterías 18650 acostadas</t>
  </si>
  <si>
    <t>4 paneles solares laterales</t>
  </si>
  <si>
    <t>PCB-2 OBC/ADCS/COM (transceptor como hija de 6.5 mm)</t>
  </si>
  <si>
    <t>PCB-1 EPS</t>
  </si>
  <si>
    <t>PCB-3 carga útil</t>
  </si>
  <si>
    <t>Batería 2 × 18650 + soporte</t>
  </si>
  <si>
    <t>Óptica f ≈ 30 mm (la rueda va al lado del tubo)</t>
  </si>
  <si>
    <t>PCB-2 OBC/ADCS/COM</t>
  </si>
  <si>
    <t>Total ocupado</t>
  </si>
  <si>
    <t>Módulo transceptor UHF</t>
  </si>
  <si>
    <t>Altura interior de la estructura ISISPACE [R25]</t>
  </si>
  <si>
    <t>Antena UHF ISISPACE [R26]</t>
  </si>
  <si>
    <t>Holgura</t>
  </si>
  <si>
    <t>Rueda de momento</t>
  </si>
  <si>
    <t>3 magnetorquers</t>
  </si>
  <si>
    <t>La rueda (28 × 28 × 26 mm [R15]) no cabe en la franja de las baterías (25 mm), así que va junto al tubo de la óptica; los magnetorquers planos (3.2 mm) van en las paredes. La antena se cuenta dentro de la estructura (peor caso, TBD-04). El volumen es la restricción más activa del diseño (riesgo R-04).</t>
  </si>
  <si>
    <t>Sensores de sol</t>
  </si>
  <si>
    <t>Óptica + filtro + montura</t>
  </si>
  <si>
    <t>Total</t>
  </si>
  <si>
    <t>Margen de madurez</t>
  </si>
  <si>
    <t>Total con margen</t>
  </si>
  <si>
    <t>Límite del CDS para 1U (g)</t>
  </si>
  <si>
    <t>Uso del límite</t>
  </si>
  <si>
    <t>Verificación RN-02 / RNF-08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</si>
</sst>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\+0.0%;\-0.0%"/>
    <numFmt numFmtId="166" formatCode="0.0"/>
    <numFmt numFmtId="167" formatCode="0.0%"/>
    <numFmt numFmtId="168" formatCode="\+0%;\-0%"/>
    <numFmt numFmtId="169" formatCode="\+0.0;\-0.0"/>
  </numFmts>
  <fonts count="9" x14ac:knownFonts="1">
    <font>
      <sz val="11"/>
      <color theme="1"/>
      <name val="Calibri"/>
      <family val="2"/>
      <scheme val="minor"/>
    </font>
    <font>
      <b/>
      <sz val="13"/>
      <color rgb="FF1F3A5F"/>
      <name val="Arial"/>
    </font>
    <font>
      <i/>
      <sz val="9"/>
      <color rgb="FF555555"/>
      <name val="Arial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color rgb="FF0000FF"/>
      <name val="Arial"/>
    </font>
    <font>
      <b/>
      <sz val="10"/>
      <color rgb="FF1F3A5F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2A8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0" fontId="3" fillId="0" borderId="0" xfId="0" applyFont="1" applyAlignment="1">
      <alignment vertical="top" wrapText="1"/>
    </xf>
    <xf numFmtId="0" fontId="5" fillId="0" borderId="0" xfId="0" applyFont="1"/>
    <xf numFmtId="0" fontId="6" fillId="3" borderId="0" xfId="0" applyFont="1" applyFill="1"/>
    <xf numFmtId="0" fontId="5" fillId="4" borderId="0" xfId="0" applyFont="1" applyFill="1"/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/>
    </xf>
    <xf numFmtId="0" fontId="5" fillId="0" borderId="1" xfId="0" applyFont="1" applyBorder="1"/>
    <xf numFmtId="0" fontId="3" fillId="0" borderId="1" xfId="0" applyFont="1" applyBorder="1"/>
    <xf numFmtId="0" fontId="7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vertical="center" wrapText="1"/>
    </xf>
    <xf numFmtId="2" fontId="8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/>
    <xf numFmtId="2" fontId="3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0" fontId="3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" fontId="8" fillId="3" borderId="1" xfId="0" applyNumberFormat="1" applyFont="1" applyFill="1" applyBorder="1" applyAlignment="1">
      <alignment horizontal="center" vertical="center" wrapText="1"/>
    </xf>
    <xf numFmtId="169" fontId="5" fillId="0" borderId="1" xfId="0" applyNumberFormat="1" applyFont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26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CE4D6"/>
          <b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</sheetPr>
  <dimension ref="A1:C25"/>
  <sheetViews>
    <sheetView showGridLines="0" tabSelected="1" workbookViewId="0"/>
  </sheetViews>
  <sheetFormatPr baseColWidth="10" defaultColWidth="8.88671875" defaultRowHeight="14.4" x14ac:dyDescent="0.3"/>
  <cols>
    <col min="1" max="1" width="24" customWidth="1"/>
    <col min="2" max="2" width="70" customWidth="1"/>
    <col min="3" max="3" width="22" customWidth="1"/>
  </cols>
  <sheetData>
    <row r="1" spans="1:3" ht="16.8" x14ac:dyDescent="0.3">
      <c r="A1" s="1" t="s">
        <v>0</v>
      </c>
    </row>
    <row r="2" spans="1:3" x14ac:dyDescent="0.3">
      <c r="A2" s="2" t="s">
        <v>1</v>
      </c>
    </row>
    <row r="4" spans="1:3" ht="19.95" customHeight="1" x14ac:dyDescent="0.3">
      <c r="A4" s="3" t="s">
        <v>2</v>
      </c>
      <c r="B4" s="3" t="s">
        <v>3</v>
      </c>
      <c r="C4" s="3" t="s">
        <v>4</v>
      </c>
    </row>
    <row r="5" spans="1:3" ht="26.4" x14ac:dyDescent="0.3">
      <c r="A5" s="4" t="s">
        <v>5</v>
      </c>
      <c r="B5" s="4" t="s">
        <v>6</v>
      </c>
      <c r="C5" s="4" t="s">
        <v>7</v>
      </c>
    </row>
    <row r="6" spans="1:3" x14ac:dyDescent="0.3">
      <c r="A6" s="4" t="s">
        <v>8</v>
      </c>
      <c r="B6" s="4" t="s">
        <v>9</v>
      </c>
      <c r="C6" s="4" t="s">
        <v>10</v>
      </c>
    </row>
    <row r="7" spans="1:3" x14ac:dyDescent="0.3">
      <c r="A7" s="4" t="s">
        <v>11</v>
      </c>
      <c r="B7" s="4" t="s">
        <v>12</v>
      </c>
      <c r="C7" s="4" t="s">
        <v>10</v>
      </c>
    </row>
    <row r="8" spans="1:3" x14ac:dyDescent="0.3">
      <c r="A8" s="4" t="s">
        <v>13</v>
      </c>
      <c r="B8" s="4" t="s">
        <v>14</v>
      </c>
      <c r="C8" s="4" t="s">
        <v>15</v>
      </c>
    </row>
    <row r="9" spans="1:3" x14ac:dyDescent="0.3">
      <c r="A9" s="4" t="s">
        <v>16</v>
      </c>
      <c r="B9" s="4" t="s">
        <v>17</v>
      </c>
      <c r="C9" s="4" t="s">
        <v>18</v>
      </c>
    </row>
    <row r="10" spans="1:3" x14ac:dyDescent="0.3">
      <c r="A10" s="4" t="s">
        <v>19</v>
      </c>
      <c r="B10" s="4" t="s">
        <v>20</v>
      </c>
      <c r="C10" s="4" t="s">
        <v>21</v>
      </c>
    </row>
    <row r="11" spans="1:3" x14ac:dyDescent="0.3">
      <c r="A11" s="4" t="s">
        <v>22</v>
      </c>
      <c r="B11" s="4" t="s">
        <v>23</v>
      </c>
      <c r="C11" s="4" t="s">
        <v>24</v>
      </c>
    </row>
    <row r="12" spans="1:3" x14ac:dyDescent="0.3">
      <c r="A12" s="4" t="s">
        <v>25</v>
      </c>
      <c r="B12" s="4" t="s">
        <v>26</v>
      </c>
      <c r="C12" s="4" t="s">
        <v>27</v>
      </c>
    </row>
    <row r="13" spans="1:3" x14ac:dyDescent="0.3">
      <c r="A13" s="4" t="s">
        <v>28</v>
      </c>
      <c r="B13" s="4" t="s">
        <v>29</v>
      </c>
      <c r="C13" s="4" t="s">
        <v>30</v>
      </c>
    </row>
    <row r="14" spans="1:3" ht="26.4" x14ac:dyDescent="0.3">
      <c r="A14" s="4" t="s">
        <v>31</v>
      </c>
      <c r="B14" s="4" t="s">
        <v>32</v>
      </c>
      <c r="C14" s="4" t="s">
        <v>33</v>
      </c>
    </row>
    <row r="15" spans="1:3" x14ac:dyDescent="0.3">
      <c r="A15" s="4" t="s">
        <v>34</v>
      </c>
      <c r="B15" s="4" t="s">
        <v>35</v>
      </c>
      <c r="C15" s="4" t="s">
        <v>36</v>
      </c>
    </row>
    <row r="16" spans="1:3" x14ac:dyDescent="0.3">
      <c r="A16" s="4" t="s">
        <v>37</v>
      </c>
      <c r="B16" s="4" t="s">
        <v>38</v>
      </c>
      <c r="C16" s="4" t="s">
        <v>39</v>
      </c>
    </row>
    <row r="17" spans="1:3" x14ac:dyDescent="0.3">
      <c r="A17" s="4" t="s">
        <v>40</v>
      </c>
      <c r="B17" s="4" t="s">
        <v>41</v>
      </c>
      <c r="C17" s="4" t="s">
        <v>42</v>
      </c>
    </row>
    <row r="19" spans="1:3" x14ac:dyDescent="0.3">
      <c r="A19" s="5" t="s">
        <v>43</v>
      </c>
    </row>
    <row r="20" spans="1:3" ht="19.95" customHeight="1" x14ac:dyDescent="0.3">
      <c r="A20" s="6" t="s">
        <v>44</v>
      </c>
      <c r="B20" s="7" t="s">
        <v>45</v>
      </c>
    </row>
    <row r="21" spans="1:3" ht="19.95" customHeight="1" x14ac:dyDescent="0.3">
      <c r="A21" s="8" t="s">
        <v>46</v>
      </c>
      <c r="B21" s="7" t="s">
        <v>47</v>
      </c>
    </row>
    <row r="22" spans="1:3" ht="48" customHeight="1" x14ac:dyDescent="0.3">
      <c r="A22" s="9" t="s">
        <v>48</v>
      </c>
      <c r="B22" s="7" t="s">
        <v>49</v>
      </c>
    </row>
    <row r="23" spans="1:3" ht="19.95" customHeight="1" x14ac:dyDescent="0.3">
      <c r="A23" s="10" t="s">
        <v>50</v>
      </c>
      <c r="B23" s="7" t="s">
        <v>51</v>
      </c>
    </row>
    <row r="25" spans="1:3" ht="42" customHeight="1" x14ac:dyDescent="0.3">
      <c r="A25" s="47" t="s">
        <v>52</v>
      </c>
      <c r="B25" s="48"/>
      <c r="C25" s="48"/>
    </row>
  </sheetData>
  <mergeCells count="1">
    <mergeCell ref="A25:C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6A6A6"/>
  </sheetPr>
  <dimension ref="A1:G44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9" customWidth="1"/>
    <col min="2" max="2" width="12" customWidth="1"/>
    <col min="3" max="3" width="48" customWidth="1"/>
    <col min="4" max="4" width="36" customWidth="1"/>
    <col min="5" max="5" width="10" customWidth="1"/>
    <col min="6" max="6" width="9" customWidth="1"/>
    <col min="7" max="7" width="44" customWidth="1"/>
  </cols>
  <sheetData>
    <row r="1" spans="1:7" ht="16.8" x14ac:dyDescent="0.3">
      <c r="A1" s="1" t="s">
        <v>53</v>
      </c>
    </row>
    <row r="2" spans="1:7" x14ac:dyDescent="0.3">
      <c r="A2" s="2" t="s">
        <v>54</v>
      </c>
    </row>
    <row r="4" spans="1:7" ht="30" customHeight="1" x14ac:dyDescent="0.3">
      <c r="A4" s="3" t="s">
        <v>55</v>
      </c>
      <c r="B4" s="3" t="s">
        <v>56</v>
      </c>
      <c r="C4" s="3" t="s">
        <v>57</v>
      </c>
      <c r="D4" s="3" t="s">
        <v>58</v>
      </c>
      <c r="E4" s="3" t="s">
        <v>59</v>
      </c>
      <c r="F4" s="3" t="s">
        <v>60</v>
      </c>
      <c r="G4" s="3" t="s">
        <v>61</v>
      </c>
    </row>
    <row r="5" spans="1:7" ht="61.95" customHeight="1" x14ac:dyDescent="0.3">
      <c r="A5" s="12" t="s">
        <v>62</v>
      </c>
      <c r="B5" s="12" t="s">
        <v>63</v>
      </c>
      <c r="C5" s="4" t="s">
        <v>64</v>
      </c>
      <c r="D5" s="4" t="s">
        <v>65</v>
      </c>
      <c r="E5" s="12" t="s">
        <v>66</v>
      </c>
      <c r="F5" s="12" t="s">
        <v>67</v>
      </c>
      <c r="G5" s="4" t="s">
        <v>68</v>
      </c>
    </row>
    <row r="6" spans="1:7" ht="61.95" customHeight="1" x14ac:dyDescent="0.3">
      <c r="A6" s="12" t="s">
        <v>69</v>
      </c>
      <c r="B6" s="12" t="s">
        <v>63</v>
      </c>
      <c r="C6" s="4" t="s">
        <v>70</v>
      </c>
      <c r="D6" s="4" t="s">
        <v>71</v>
      </c>
      <c r="E6" s="12" t="s">
        <v>66</v>
      </c>
      <c r="F6" s="12" t="s">
        <v>72</v>
      </c>
      <c r="G6" s="4" t="s">
        <v>73</v>
      </c>
    </row>
    <row r="7" spans="1:7" ht="61.95" customHeight="1" x14ac:dyDescent="0.3">
      <c r="A7" s="12" t="s">
        <v>74</v>
      </c>
      <c r="B7" s="12" t="s">
        <v>63</v>
      </c>
      <c r="C7" s="4" t="s">
        <v>75</v>
      </c>
      <c r="D7" s="4" t="s">
        <v>76</v>
      </c>
      <c r="E7" s="12" t="s">
        <v>66</v>
      </c>
      <c r="F7" s="12" t="s">
        <v>67</v>
      </c>
      <c r="G7" s="4" t="s">
        <v>77</v>
      </c>
    </row>
    <row r="8" spans="1:7" ht="76.05" customHeight="1" x14ac:dyDescent="0.3">
      <c r="A8" s="12" t="s">
        <v>78</v>
      </c>
      <c r="B8" s="12" t="s">
        <v>63</v>
      </c>
      <c r="C8" s="4" t="s">
        <v>79</v>
      </c>
      <c r="D8" s="4" t="s">
        <v>80</v>
      </c>
      <c r="E8" s="12" t="s">
        <v>66</v>
      </c>
      <c r="F8" s="12" t="s">
        <v>72</v>
      </c>
      <c r="G8" s="4" t="s">
        <v>81</v>
      </c>
    </row>
    <row r="9" spans="1:7" ht="48" customHeight="1" x14ac:dyDescent="0.3">
      <c r="A9" s="12" t="s">
        <v>82</v>
      </c>
      <c r="B9" s="12" t="s">
        <v>63</v>
      </c>
      <c r="C9" s="4" t="s">
        <v>83</v>
      </c>
      <c r="D9" s="4" t="s">
        <v>84</v>
      </c>
      <c r="E9" s="12" t="s">
        <v>66</v>
      </c>
      <c r="F9" s="12" t="s">
        <v>85</v>
      </c>
      <c r="G9" s="4" t="s">
        <v>86</v>
      </c>
    </row>
    <row r="10" spans="1:7" ht="61.95" customHeight="1" x14ac:dyDescent="0.3">
      <c r="A10" s="12" t="s">
        <v>87</v>
      </c>
      <c r="B10" s="12" t="s">
        <v>63</v>
      </c>
      <c r="C10" s="4" t="s">
        <v>88</v>
      </c>
      <c r="D10" s="4" t="s">
        <v>89</v>
      </c>
      <c r="E10" s="12" t="s">
        <v>66</v>
      </c>
      <c r="F10" s="12" t="s">
        <v>90</v>
      </c>
      <c r="G10" s="4" t="s">
        <v>91</v>
      </c>
    </row>
    <row r="11" spans="1:7" ht="61.95" customHeight="1" x14ac:dyDescent="0.3">
      <c r="A11" s="12" t="s">
        <v>92</v>
      </c>
      <c r="B11" s="12" t="s">
        <v>63</v>
      </c>
      <c r="C11" s="4" t="s">
        <v>93</v>
      </c>
      <c r="D11" s="4" t="s">
        <v>94</v>
      </c>
      <c r="E11" s="12" t="s">
        <v>66</v>
      </c>
      <c r="F11" s="12" t="s">
        <v>67</v>
      </c>
      <c r="G11" s="4" t="s">
        <v>95</v>
      </c>
    </row>
    <row r="12" spans="1:7" ht="48" customHeight="1" x14ac:dyDescent="0.3">
      <c r="A12" s="12" t="s">
        <v>96</v>
      </c>
      <c r="B12" s="12" t="s">
        <v>63</v>
      </c>
      <c r="C12" s="4" t="s">
        <v>97</v>
      </c>
      <c r="D12" s="4" t="s">
        <v>98</v>
      </c>
      <c r="E12" s="12" t="s">
        <v>66</v>
      </c>
      <c r="F12" s="12" t="s">
        <v>72</v>
      </c>
      <c r="G12" s="4" t="s">
        <v>99</v>
      </c>
    </row>
    <row r="13" spans="1:7" ht="61.95" customHeight="1" x14ac:dyDescent="0.3">
      <c r="A13" s="12" t="s">
        <v>100</v>
      </c>
      <c r="B13" s="12" t="s">
        <v>63</v>
      </c>
      <c r="C13" s="4" t="s">
        <v>101</v>
      </c>
      <c r="D13" s="4" t="s">
        <v>102</v>
      </c>
      <c r="E13" s="12" t="s">
        <v>66</v>
      </c>
      <c r="F13" s="12" t="s">
        <v>67</v>
      </c>
      <c r="G13" s="4" t="s">
        <v>103</v>
      </c>
    </row>
    <row r="14" spans="1:7" ht="48" customHeight="1" x14ac:dyDescent="0.3">
      <c r="A14" s="12" t="s">
        <v>104</v>
      </c>
      <c r="B14" s="12" t="s">
        <v>63</v>
      </c>
      <c r="C14" s="4" t="s">
        <v>105</v>
      </c>
      <c r="D14" s="4" t="s">
        <v>106</v>
      </c>
      <c r="E14" s="12" t="s">
        <v>66</v>
      </c>
      <c r="F14" s="12" t="s">
        <v>67</v>
      </c>
      <c r="G14" s="4" t="s">
        <v>107</v>
      </c>
    </row>
    <row r="15" spans="1:7" ht="48" customHeight="1" x14ac:dyDescent="0.3">
      <c r="A15" s="12" t="s">
        <v>108</v>
      </c>
      <c r="B15" s="12" t="s">
        <v>63</v>
      </c>
      <c r="C15" s="4" t="s">
        <v>109</v>
      </c>
      <c r="D15" s="4" t="s">
        <v>110</v>
      </c>
      <c r="E15" s="12" t="s">
        <v>111</v>
      </c>
      <c r="F15" s="12" t="s">
        <v>67</v>
      </c>
      <c r="G15" s="4" t="s">
        <v>112</v>
      </c>
    </row>
    <row r="16" spans="1:7" ht="103.95" customHeight="1" x14ac:dyDescent="0.3">
      <c r="A16" s="12" t="s">
        <v>113</v>
      </c>
      <c r="B16" s="12" t="s">
        <v>114</v>
      </c>
      <c r="C16" s="4" t="s">
        <v>115</v>
      </c>
      <c r="D16" s="4" t="s">
        <v>116</v>
      </c>
      <c r="E16" s="12" t="s">
        <v>66</v>
      </c>
      <c r="F16" s="12" t="s">
        <v>90</v>
      </c>
      <c r="G16" s="4" t="s">
        <v>117</v>
      </c>
    </row>
    <row r="17" spans="1:7" ht="61.95" customHeight="1" x14ac:dyDescent="0.3">
      <c r="A17" s="12" t="s">
        <v>118</v>
      </c>
      <c r="B17" s="12" t="s">
        <v>114</v>
      </c>
      <c r="C17" s="4" t="s">
        <v>119</v>
      </c>
      <c r="D17" s="4" t="s">
        <v>120</v>
      </c>
      <c r="E17" s="12" t="s">
        <v>66</v>
      </c>
      <c r="F17" s="12" t="s">
        <v>90</v>
      </c>
      <c r="G17" s="4" t="s">
        <v>121</v>
      </c>
    </row>
    <row r="18" spans="1:7" ht="76.05" customHeight="1" x14ac:dyDescent="0.3">
      <c r="A18" s="12" t="s">
        <v>122</v>
      </c>
      <c r="B18" s="12" t="s">
        <v>114</v>
      </c>
      <c r="C18" s="4" t="s">
        <v>123</v>
      </c>
      <c r="D18" s="4" t="s">
        <v>124</v>
      </c>
      <c r="E18" s="12" t="s">
        <v>66</v>
      </c>
      <c r="F18" s="12" t="s">
        <v>90</v>
      </c>
      <c r="G18" s="4" t="s">
        <v>125</v>
      </c>
    </row>
    <row r="19" spans="1:7" ht="61.95" customHeight="1" x14ac:dyDescent="0.3">
      <c r="A19" s="12" t="s">
        <v>126</v>
      </c>
      <c r="B19" s="12" t="s">
        <v>114</v>
      </c>
      <c r="C19" s="4" t="s">
        <v>127</v>
      </c>
      <c r="D19" s="4" t="s">
        <v>128</v>
      </c>
      <c r="E19" s="12" t="s">
        <v>66</v>
      </c>
      <c r="F19" s="12" t="s">
        <v>90</v>
      </c>
      <c r="G19" s="4" t="s">
        <v>129</v>
      </c>
    </row>
    <row r="20" spans="1:7" ht="48" customHeight="1" x14ac:dyDescent="0.3">
      <c r="A20" s="12" t="s">
        <v>130</v>
      </c>
      <c r="B20" s="12" t="s">
        <v>114</v>
      </c>
      <c r="C20" s="4" t="s">
        <v>131</v>
      </c>
      <c r="D20" s="4" t="s">
        <v>132</v>
      </c>
      <c r="E20" s="12" t="s">
        <v>111</v>
      </c>
      <c r="F20" s="12" t="s">
        <v>90</v>
      </c>
      <c r="G20" s="4" t="s">
        <v>133</v>
      </c>
    </row>
    <row r="21" spans="1:7" ht="48" customHeight="1" x14ac:dyDescent="0.3">
      <c r="A21" s="12" t="s">
        <v>134</v>
      </c>
      <c r="B21" s="12" t="s">
        <v>114</v>
      </c>
      <c r="C21" s="4" t="s">
        <v>135</v>
      </c>
      <c r="D21" s="4" t="s">
        <v>136</v>
      </c>
      <c r="E21" s="12" t="s">
        <v>111</v>
      </c>
      <c r="F21" s="12" t="s">
        <v>90</v>
      </c>
      <c r="G21" s="4" t="s">
        <v>137</v>
      </c>
    </row>
    <row r="22" spans="1:7" ht="61.95" customHeight="1" x14ac:dyDescent="0.3">
      <c r="A22" s="12" t="s">
        <v>138</v>
      </c>
      <c r="B22" s="12" t="s">
        <v>114</v>
      </c>
      <c r="C22" s="4" t="s">
        <v>139</v>
      </c>
      <c r="D22" s="4" t="s">
        <v>140</v>
      </c>
      <c r="E22" s="12" t="s">
        <v>66</v>
      </c>
      <c r="F22" s="12" t="s">
        <v>90</v>
      </c>
      <c r="G22" s="4" t="s">
        <v>141</v>
      </c>
    </row>
    <row r="23" spans="1:7" ht="48" customHeight="1" x14ac:dyDescent="0.3">
      <c r="A23" s="12" t="s">
        <v>142</v>
      </c>
      <c r="B23" s="12" t="s">
        <v>114</v>
      </c>
      <c r="C23" s="4" t="s">
        <v>143</v>
      </c>
      <c r="D23" s="4" t="s">
        <v>144</v>
      </c>
      <c r="E23" s="12" t="s">
        <v>66</v>
      </c>
      <c r="F23" s="12" t="s">
        <v>90</v>
      </c>
      <c r="G23" s="4" t="s">
        <v>145</v>
      </c>
    </row>
    <row r="24" spans="1:7" ht="61.95" customHeight="1" x14ac:dyDescent="0.3">
      <c r="A24" s="12" t="s">
        <v>146</v>
      </c>
      <c r="B24" s="12" t="s">
        <v>114</v>
      </c>
      <c r="C24" s="4" t="s">
        <v>147</v>
      </c>
      <c r="D24" s="4" t="s">
        <v>148</v>
      </c>
      <c r="E24" s="12" t="s">
        <v>66</v>
      </c>
      <c r="F24" s="12" t="s">
        <v>67</v>
      </c>
      <c r="G24" s="4" t="s">
        <v>149</v>
      </c>
    </row>
    <row r="25" spans="1:7" ht="61.95" customHeight="1" x14ac:dyDescent="0.3">
      <c r="A25" s="12" t="s">
        <v>150</v>
      </c>
      <c r="B25" s="12" t="s">
        <v>114</v>
      </c>
      <c r="C25" s="4" t="s">
        <v>151</v>
      </c>
      <c r="D25" s="4" t="s">
        <v>152</v>
      </c>
      <c r="E25" s="12" t="s">
        <v>111</v>
      </c>
      <c r="F25" s="12" t="s">
        <v>153</v>
      </c>
      <c r="G25" s="4" t="s">
        <v>154</v>
      </c>
    </row>
    <row r="26" spans="1:7" ht="61.95" customHeight="1" x14ac:dyDescent="0.3">
      <c r="A26" s="12" t="s">
        <v>155</v>
      </c>
      <c r="B26" s="12" t="s">
        <v>156</v>
      </c>
      <c r="C26" s="4" t="s">
        <v>157</v>
      </c>
      <c r="D26" s="4" t="s">
        <v>158</v>
      </c>
      <c r="E26" s="12" t="s">
        <v>66</v>
      </c>
      <c r="F26" s="12" t="s">
        <v>67</v>
      </c>
      <c r="G26" s="4" t="s">
        <v>159</v>
      </c>
    </row>
    <row r="27" spans="1:7" ht="61.95" customHeight="1" x14ac:dyDescent="0.3">
      <c r="A27" s="12" t="s">
        <v>160</v>
      </c>
      <c r="B27" s="12" t="s">
        <v>156</v>
      </c>
      <c r="C27" s="4" t="s">
        <v>161</v>
      </c>
      <c r="D27" s="4" t="s">
        <v>162</v>
      </c>
      <c r="E27" s="12" t="s">
        <v>66</v>
      </c>
      <c r="F27" s="12" t="s">
        <v>90</v>
      </c>
      <c r="G27" s="4" t="s">
        <v>163</v>
      </c>
    </row>
    <row r="28" spans="1:7" ht="61.95" customHeight="1" x14ac:dyDescent="0.3">
      <c r="A28" s="12" t="s">
        <v>164</v>
      </c>
      <c r="B28" s="12" t="s">
        <v>156</v>
      </c>
      <c r="C28" s="4" t="s">
        <v>165</v>
      </c>
      <c r="D28" s="4" t="s">
        <v>166</v>
      </c>
      <c r="E28" s="12" t="s">
        <v>66</v>
      </c>
      <c r="F28" s="12" t="s">
        <v>90</v>
      </c>
      <c r="G28" s="4" t="s">
        <v>167</v>
      </c>
    </row>
    <row r="29" spans="1:7" ht="61.95" customHeight="1" x14ac:dyDescent="0.3">
      <c r="A29" s="12" t="s">
        <v>168</v>
      </c>
      <c r="B29" s="12" t="s">
        <v>156</v>
      </c>
      <c r="C29" s="4" t="s">
        <v>169</v>
      </c>
      <c r="D29" s="4" t="s">
        <v>170</v>
      </c>
      <c r="E29" s="12" t="s">
        <v>66</v>
      </c>
      <c r="F29" s="12" t="s">
        <v>67</v>
      </c>
      <c r="G29" s="4" t="s">
        <v>171</v>
      </c>
    </row>
    <row r="30" spans="1:7" ht="61.95" customHeight="1" x14ac:dyDescent="0.3">
      <c r="A30" s="12" t="s">
        <v>172</v>
      </c>
      <c r="B30" s="12" t="s">
        <v>156</v>
      </c>
      <c r="C30" s="4" t="s">
        <v>173</v>
      </c>
      <c r="D30" s="4" t="s">
        <v>174</v>
      </c>
      <c r="E30" s="12" t="s">
        <v>111</v>
      </c>
      <c r="F30" s="12" t="s">
        <v>90</v>
      </c>
      <c r="G30" s="4" t="s">
        <v>175</v>
      </c>
    </row>
    <row r="31" spans="1:7" ht="76.05" customHeight="1" x14ac:dyDescent="0.3">
      <c r="A31" s="12" t="s">
        <v>176</v>
      </c>
      <c r="B31" s="12" t="s">
        <v>177</v>
      </c>
      <c r="C31" s="4" t="s">
        <v>178</v>
      </c>
      <c r="D31" s="4" t="s">
        <v>179</v>
      </c>
      <c r="E31" s="12" t="s">
        <v>66</v>
      </c>
      <c r="F31" s="12" t="s">
        <v>180</v>
      </c>
      <c r="G31" s="4" t="s">
        <v>181</v>
      </c>
    </row>
    <row r="32" spans="1:7" ht="61.95" customHeight="1" x14ac:dyDescent="0.3">
      <c r="A32" s="12" t="s">
        <v>182</v>
      </c>
      <c r="B32" s="12" t="s">
        <v>177</v>
      </c>
      <c r="C32" s="4" t="s">
        <v>183</v>
      </c>
      <c r="D32" s="4" t="s">
        <v>184</v>
      </c>
      <c r="E32" s="12" t="s">
        <v>66</v>
      </c>
      <c r="F32" s="12" t="s">
        <v>67</v>
      </c>
      <c r="G32" s="4" t="s">
        <v>185</v>
      </c>
    </row>
    <row r="33" spans="1:7" ht="103.95" customHeight="1" x14ac:dyDescent="0.3">
      <c r="A33" s="12" t="s">
        <v>186</v>
      </c>
      <c r="B33" s="12" t="s">
        <v>177</v>
      </c>
      <c r="C33" s="4" t="s">
        <v>187</v>
      </c>
      <c r="D33" s="4" t="s">
        <v>188</v>
      </c>
      <c r="E33" s="12" t="s">
        <v>66</v>
      </c>
      <c r="F33" s="12" t="s">
        <v>189</v>
      </c>
      <c r="G33" s="4" t="s">
        <v>190</v>
      </c>
    </row>
    <row r="34" spans="1:7" ht="61.95" customHeight="1" x14ac:dyDescent="0.3">
      <c r="A34" s="12" t="s">
        <v>191</v>
      </c>
      <c r="B34" s="12" t="s">
        <v>177</v>
      </c>
      <c r="C34" s="4" t="s">
        <v>192</v>
      </c>
      <c r="D34" s="4" t="s">
        <v>193</v>
      </c>
      <c r="E34" s="12" t="s">
        <v>66</v>
      </c>
      <c r="F34" s="12" t="s">
        <v>189</v>
      </c>
      <c r="G34" s="4" t="s">
        <v>194</v>
      </c>
    </row>
    <row r="35" spans="1:7" ht="61.95" customHeight="1" x14ac:dyDescent="0.3">
      <c r="A35" s="12" t="s">
        <v>195</v>
      </c>
      <c r="B35" s="12" t="s">
        <v>177</v>
      </c>
      <c r="C35" s="4" t="s">
        <v>196</v>
      </c>
      <c r="D35" s="4" t="s">
        <v>197</v>
      </c>
      <c r="E35" s="12" t="s">
        <v>66</v>
      </c>
      <c r="F35" s="12" t="s">
        <v>189</v>
      </c>
      <c r="G35" s="4" t="s">
        <v>190</v>
      </c>
    </row>
    <row r="36" spans="1:7" ht="48" customHeight="1" x14ac:dyDescent="0.3">
      <c r="A36" s="12" t="s">
        <v>198</v>
      </c>
      <c r="B36" s="12" t="s">
        <v>177</v>
      </c>
      <c r="C36" s="4" t="s">
        <v>199</v>
      </c>
      <c r="D36" s="4" t="s">
        <v>200</v>
      </c>
      <c r="E36" s="12" t="s">
        <v>66</v>
      </c>
      <c r="F36" s="12" t="s">
        <v>67</v>
      </c>
      <c r="G36" s="4" t="s">
        <v>201</v>
      </c>
    </row>
    <row r="37" spans="1:7" ht="48" customHeight="1" x14ac:dyDescent="0.3">
      <c r="A37" s="12" t="s">
        <v>202</v>
      </c>
      <c r="B37" s="12" t="s">
        <v>177</v>
      </c>
      <c r="C37" s="4" t="s">
        <v>203</v>
      </c>
      <c r="D37" s="4" t="s">
        <v>204</v>
      </c>
      <c r="E37" s="12" t="s">
        <v>66</v>
      </c>
      <c r="F37" s="12" t="s">
        <v>67</v>
      </c>
      <c r="G37" s="4" t="s">
        <v>205</v>
      </c>
    </row>
    <row r="38" spans="1:7" ht="48" customHeight="1" x14ac:dyDescent="0.3">
      <c r="A38" s="12" t="s">
        <v>206</v>
      </c>
      <c r="B38" s="12" t="s">
        <v>177</v>
      </c>
      <c r="C38" s="4" t="s">
        <v>207</v>
      </c>
      <c r="D38" s="4" t="s">
        <v>208</v>
      </c>
      <c r="E38" s="12" t="s">
        <v>66</v>
      </c>
      <c r="F38" s="12" t="s">
        <v>180</v>
      </c>
      <c r="G38" s="4" t="s">
        <v>209</v>
      </c>
    </row>
    <row r="39" spans="1:7" ht="61.95" customHeight="1" x14ac:dyDescent="0.3">
      <c r="A39" s="12" t="s">
        <v>210</v>
      </c>
      <c r="B39" s="12" t="s">
        <v>177</v>
      </c>
      <c r="C39" s="4" t="s">
        <v>211</v>
      </c>
      <c r="D39" s="4" t="s">
        <v>212</v>
      </c>
      <c r="E39" s="12" t="s">
        <v>111</v>
      </c>
      <c r="F39" s="12" t="s">
        <v>189</v>
      </c>
      <c r="G39" s="4" t="s">
        <v>190</v>
      </c>
    </row>
    <row r="40" spans="1:7" ht="90" customHeight="1" x14ac:dyDescent="0.3">
      <c r="A40" s="12" t="s">
        <v>213</v>
      </c>
      <c r="B40" s="12" t="s">
        <v>177</v>
      </c>
      <c r="C40" s="4" t="s">
        <v>214</v>
      </c>
      <c r="D40" s="4" t="s">
        <v>215</v>
      </c>
      <c r="E40" s="12" t="s">
        <v>66</v>
      </c>
      <c r="F40" s="12" t="s">
        <v>180</v>
      </c>
      <c r="G40" s="4" t="s">
        <v>216</v>
      </c>
    </row>
    <row r="41" spans="1:7" ht="48" customHeight="1" x14ac:dyDescent="0.3">
      <c r="A41" s="12" t="s">
        <v>217</v>
      </c>
      <c r="B41" s="12" t="s">
        <v>177</v>
      </c>
      <c r="C41" s="4" t="s">
        <v>218</v>
      </c>
      <c r="D41" s="4" t="s">
        <v>219</v>
      </c>
      <c r="E41" s="12" t="s">
        <v>111</v>
      </c>
      <c r="F41" s="12" t="s">
        <v>90</v>
      </c>
      <c r="G41" s="4" t="s">
        <v>220</v>
      </c>
    </row>
    <row r="42" spans="1:7" ht="61.95" customHeight="1" x14ac:dyDescent="0.3">
      <c r="A42" s="12" t="s">
        <v>221</v>
      </c>
      <c r="B42" s="12" t="s">
        <v>177</v>
      </c>
      <c r="C42" s="4" t="s">
        <v>222</v>
      </c>
      <c r="D42" s="4" t="s">
        <v>223</v>
      </c>
      <c r="E42" s="12" t="s">
        <v>224</v>
      </c>
      <c r="F42" s="12" t="s">
        <v>225</v>
      </c>
      <c r="G42" s="4" t="s">
        <v>226</v>
      </c>
    </row>
    <row r="44" spans="1:7" ht="18" customHeight="1" x14ac:dyDescent="0.3">
      <c r="A44" s="47" t="s">
        <v>227</v>
      </c>
      <c r="B44" s="48"/>
      <c r="C44" s="48"/>
      <c r="D44" s="48"/>
    </row>
  </sheetData>
  <autoFilter ref="A4:G42" xr:uid="{00000000-0009-0000-0000-000001000000}"/>
  <mergeCells count="1">
    <mergeCell ref="A44:D44"/>
  </mergeCells>
  <conditionalFormatting sqref="E5:E42">
    <cfRule type="cellIs" dxfId="25" priority="1" operator="equal">
      <formula>"Alta"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6A6A6"/>
  </sheetPr>
  <dimension ref="A1:G34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8" customWidth="1"/>
    <col min="2" max="2" width="14" customWidth="1"/>
    <col min="3" max="3" width="22" customWidth="1"/>
    <col min="4" max="4" width="36" customWidth="1"/>
    <col min="5" max="5" width="9" customWidth="1"/>
    <col min="6" max="6" width="44" customWidth="1"/>
    <col min="7" max="7" width="22" customWidth="1"/>
  </cols>
  <sheetData>
    <row r="1" spans="1:7" ht="16.8" x14ac:dyDescent="0.3">
      <c r="A1" s="1" t="s">
        <v>228</v>
      </c>
    </row>
    <row r="2" spans="1:7" x14ac:dyDescent="0.3">
      <c r="A2" s="2" t="s">
        <v>229</v>
      </c>
    </row>
    <row r="4" spans="1:7" ht="30" customHeight="1" x14ac:dyDescent="0.3">
      <c r="A4" s="3" t="s">
        <v>55</v>
      </c>
      <c r="B4" s="3" t="s">
        <v>230</v>
      </c>
      <c r="C4" s="3" t="s">
        <v>231</v>
      </c>
      <c r="D4" s="3" t="s">
        <v>232</v>
      </c>
      <c r="E4" s="3" t="s">
        <v>233</v>
      </c>
      <c r="F4" s="3" t="s">
        <v>234</v>
      </c>
      <c r="G4" s="3" t="s">
        <v>235</v>
      </c>
    </row>
    <row r="5" spans="1:7" ht="61.95" customHeight="1" x14ac:dyDescent="0.3">
      <c r="A5" s="12" t="s">
        <v>236</v>
      </c>
      <c r="B5" s="12" t="s">
        <v>62</v>
      </c>
      <c r="C5" s="4" t="s">
        <v>237</v>
      </c>
      <c r="D5" s="4" t="s">
        <v>238</v>
      </c>
      <c r="E5" s="12" t="s">
        <v>239</v>
      </c>
      <c r="F5" s="4" t="s">
        <v>240</v>
      </c>
      <c r="G5" s="4" t="s">
        <v>241</v>
      </c>
    </row>
    <row r="6" spans="1:7" ht="48" customHeight="1" x14ac:dyDescent="0.3">
      <c r="A6" s="12" t="s">
        <v>242</v>
      </c>
      <c r="B6" s="12" t="s">
        <v>113</v>
      </c>
      <c r="C6" s="4" t="s">
        <v>243</v>
      </c>
      <c r="D6" s="4" t="s">
        <v>244</v>
      </c>
      <c r="E6" s="12" t="s">
        <v>245</v>
      </c>
      <c r="F6" s="4" t="s">
        <v>246</v>
      </c>
      <c r="G6" s="4" t="s">
        <v>247</v>
      </c>
    </row>
    <row r="7" spans="1:7" ht="76.05" customHeight="1" x14ac:dyDescent="0.3">
      <c r="A7" s="12" t="s">
        <v>248</v>
      </c>
      <c r="B7" s="12" t="s">
        <v>113</v>
      </c>
      <c r="C7" s="4" t="s">
        <v>249</v>
      </c>
      <c r="D7" s="4" t="s">
        <v>250</v>
      </c>
      <c r="E7" s="12" t="s">
        <v>251</v>
      </c>
      <c r="F7" s="4" t="s">
        <v>252</v>
      </c>
      <c r="G7" s="4" t="s">
        <v>253</v>
      </c>
    </row>
    <row r="8" spans="1:7" ht="48" customHeight="1" x14ac:dyDescent="0.3">
      <c r="A8" s="12" t="s">
        <v>254</v>
      </c>
      <c r="B8" s="12" t="s">
        <v>113</v>
      </c>
      <c r="C8" s="4" t="s">
        <v>255</v>
      </c>
      <c r="D8" s="4" t="s">
        <v>256</v>
      </c>
      <c r="E8" s="12" t="s">
        <v>257</v>
      </c>
      <c r="F8" s="4" t="s">
        <v>258</v>
      </c>
      <c r="G8" s="4" t="s">
        <v>259</v>
      </c>
    </row>
    <row r="9" spans="1:7" ht="19.95" customHeight="1" x14ac:dyDescent="0.3">
      <c r="A9" s="12" t="s">
        <v>260</v>
      </c>
      <c r="B9" s="12" t="s">
        <v>118</v>
      </c>
      <c r="C9" s="4" t="s">
        <v>261</v>
      </c>
      <c r="D9" s="4" t="s">
        <v>262</v>
      </c>
      <c r="E9" s="12" t="s">
        <v>263</v>
      </c>
      <c r="F9" s="4" t="s">
        <v>264</v>
      </c>
      <c r="G9" s="4" t="s">
        <v>90</v>
      </c>
    </row>
    <row r="10" spans="1:7" ht="61.95" customHeight="1" x14ac:dyDescent="0.3">
      <c r="A10" s="12" t="s">
        <v>265</v>
      </c>
      <c r="B10" s="12" t="s">
        <v>62</v>
      </c>
      <c r="C10" s="4" t="s">
        <v>266</v>
      </c>
      <c r="D10" s="4" t="s">
        <v>267</v>
      </c>
      <c r="E10" s="12" t="s">
        <v>251</v>
      </c>
      <c r="F10" s="4" t="s">
        <v>268</v>
      </c>
      <c r="G10" s="4" t="s">
        <v>90</v>
      </c>
    </row>
    <row r="11" spans="1:7" ht="48" customHeight="1" x14ac:dyDescent="0.3">
      <c r="A11" s="12" t="s">
        <v>269</v>
      </c>
      <c r="B11" s="12" t="s">
        <v>62</v>
      </c>
      <c r="C11" s="4" t="s">
        <v>270</v>
      </c>
      <c r="D11" s="4" t="s">
        <v>271</v>
      </c>
      <c r="E11" s="12" t="s">
        <v>272</v>
      </c>
      <c r="F11" s="4" t="s">
        <v>273</v>
      </c>
      <c r="G11" s="4" t="s">
        <v>90</v>
      </c>
    </row>
    <row r="12" spans="1:7" ht="48" customHeight="1" x14ac:dyDescent="0.3">
      <c r="A12" s="12" t="s">
        <v>274</v>
      </c>
      <c r="B12" s="12" t="s">
        <v>275</v>
      </c>
      <c r="C12" s="4" t="s">
        <v>276</v>
      </c>
      <c r="D12" s="4" t="s">
        <v>277</v>
      </c>
      <c r="E12" s="12" t="s">
        <v>278</v>
      </c>
      <c r="F12" s="4" t="s">
        <v>279</v>
      </c>
      <c r="G12" s="4" t="s">
        <v>90</v>
      </c>
    </row>
    <row r="13" spans="1:7" ht="48" customHeight="1" x14ac:dyDescent="0.3">
      <c r="A13" s="12" t="s">
        <v>280</v>
      </c>
      <c r="B13" s="12" t="s">
        <v>275</v>
      </c>
      <c r="C13" s="4" t="s">
        <v>281</v>
      </c>
      <c r="D13" s="4" t="s">
        <v>282</v>
      </c>
      <c r="E13" s="12" t="s">
        <v>283</v>
      </c>
      <c r="F13" s="4" t="s">
        <v>284</v>
      </c>
      <c r="G13" s="4" t="s">
        <v>285</v>
      </c>
    </row>
    <row r="14" spans="1:7" ht="48" customHeight="1" x14ac:dyDescent="0.3">
      <c r="A14" s="12" t="s">
        <v>286</v>
      </c>
      <c r="B14" s="12" t="s">
        <v>122</v>
      </c>
      <c r="C14" s="4" t="s">
        <v>287</v>
      </c>
      <c r="D14" s="4" t="s">
        <v>288</v>
      </c>
      <c r="E14" s="12" t="s">
        <v>251</v>
      </c>
      <c r="F14" s="4" t="s">
        <v>289</v>
      </c>
      <c r="G14" s="4" t="s">
        <v>290</v>
      </c>
    </row>
    <row r="15" spans="1:7" ht="61.95" customHeight="1" x14ac:dyDescent="0.3">
      <c r="A15" s="12" t="s">
        <v>291</v>
      </c>
      <c r="B15" s="12" t="s">
        <v>292</v>
      </c>
      <c r="C15" s="4" t="s">
        <v>293</v>
      </c>
      <c r="D15" s="4" t="s">
        <v>294</v>
      </c>
      <c r="E15" s="12" t="s">
        <v>295</v>
      </c>
      <c r="F15" s="4" t="s">
        <v>296</v>
      </c>
      <c r="G15" s="4" t="s">
        <v>297</v>
      </c>
    </row>
    <row r="16" spans="1:7" ht="61.95" customHeight="1" x14ac:dyDescent="0.3">
      <c r="A16" s="12" t="s">
        <v>298</v>
      </c>
      <c r="B16" s="12" t="s">
        <v>74</v>
      </c>
      <c r="C16" s="4" t="s">
        <v>299</v>
      </c>
      <c r="D16" s="4" t="s">
        <v>300</v>
      </c>
      <c r="E16" s="12" t="s">
        <v>301</v>
      </c>
      <c r="F16" s="4" t="s">
        <v>302</v>
      </c>
      <c r="G16" s="4" t="s">
        <v>180</v>
      </c>
    </row>
    <row r="17" spans="1:7" ht="48" customHeight="1" x14ac:dyDescent="0.3">
      <c r="A17" s="12" t="s">
        <v>303</v>
      </c>
      <c r="B17" s="12" t="s">
        <v>78</v>
      </c>
      <c r="C17" s="4" t="s">
        <v>304</v>
      </c>
      <c r="D17" s="4" t="s">
        <v>305</v>
      </c>
      <c r="E17" s="12" t="s">
        <v>251</v>
      </c>
      <c r="F17" s="4" t="s">
        <v>306</v>
      </c>
      <c r="G17" s="4" t="s">
        <v>67</v>
      </c>
    </row>
    <row r="18" spans="1:7" ht="61.95" customHeight="1" x14ac:dyDescent="0.3">
      <c r="A18" s="12" t="s">
        <v>307</v>
      </c>
      <c r="B18" s="12" t="s">
        <v>138</v>
      </c>
      <c r="C18" s="4" t="s">
        <v>308</v>
      </c>
      <c r="D18" s="4" t="s">
        <v>309</v>
      </c>
      <c r="E18" s="12" t="s">
        <v>310</v>
      </c>
      <c r="F18" s="4" t="s">
        <v>311</v>
      </c>
      <c r="G18" s="4" t="s">
        <v>312</v>
      </c>
    </row>
    <row r="19" spans="1:7" ht="48" customHeight="1" x14ac:dyDescent="0.3">
      <c r="A19" s="12" t="s">
        <v>313</v>
      </c>
      <c r="B19" s="12" t="s">
        <v>314</v>
      </c>
      <c r="C19" s="4" t="s">
        <v>315</v>
      </c>
      <c r="D19" s="4" t="s">
        <v>316</v>
      </c>
      <c r="E19" s="12" t="s">
        <v>310</v>
      </c>
      <c r="F19" s="4" t="s">
        <v>317</v>
      </c>
      <c r="G19" s="4" t="s">
        <v>90</v>
      </c>
    </row>
    <row r="20" spans="1:7" ht="19.95" customHeight="1" x14ac:dyDescent="0.3">
      <c r="A20" s="12" t="s">
        <v>318</v>
      </c>
      <c r="B20" s="12" t="s">
        <v>87</v>
      </c>
      <c r="C20" s="4" t="s">
        <v>319</v>
      </c>
      <c r="D20" s="4" t="s">
        <v>320</v>
      </c>
      <c r="E20" s="12" t="s">
        <v>321</v>
      </c>
      <c r="F20" s="4" t="s">
        <v>322</v>
      </c>
      <c r="G20" s="4" t="s">
        <v>323</v>
      </c>
    </row>
    <row r="21" spans="1:7" ht="48" customHeight="1" x14ac:dyDescent="0.3">
      <c r="A21" s="12" t="s">
        <v>324</v>
      </c>
      <c r="B21" s="12" t="s">
        <v>87</v>
      </c>
      <c r="C21" s="4" t="s">
        <v>325</v>
      </c>
      <c r="D21" s="4" t="s">
        <v>326</v>
      </c>
      <c r="E21" s="12" t="s">
        <v>327</v>
      </c>
      <c r="F21" s="4" t="s">
        <v>328</v>
      </c>
      <c r="G21" s="4" t="s">
        <v>329</v>
      </c>
    </row>
    <row r="22" spans="1:7" ht="61.95" customHeight="1" x14ac:dyDescent="0.3">
      <c r="A22" s="12" t="s">
        <v>330</v>
      </c>
      <c r="B22" s="12" t="s">
        <v>126</v>
      </c>
      <c r="C22" s="4" t="s">
        <v>331</v>
      </c>
      <c r="D22" s="4" t="s">
        <v>332</v>
      </c>
      <c r="E22" s="12" t="s">
        <v>333</v>
      </c>
      <c r="F22" s="4" t="s">
        <v>334</v>
      </c>
      <c r="G22" s="4" t="s">
        <v>67</v>
      </c>
    </row>
    <row r="23" spans="1:7" ht="61.95" customHeight="1" x14ac:dyDescent="0.3">
      <c r="A23" s="12" t="s">
        <v>335</v>
      </c>
      <c r="B23" s="12" t="s">
        <v>126</v>
      </c>
      <c r="C23" s="4" t="s">
        <v>336</v>
      </c>
      <c r="D23" s="4" t="s">
        <v>337</v>
      </c>
      <c r="E23" s="12" t="s">
        <v>338</v>
      </c>
      <c r="F23" s="4" t="s">
        <v>339</v>
      </c>
      <c r="G23" s="4" t="s">
        <v>340</v>
      </c>
    </row>
    <row r="24" spans="1:7" ht="103.95" customHeight="1" x14ac:dyDescent="0.3">
      <c r="A24" s="12" t="s">
        <v>341</v>
      </c>
      <c r="B24" s="12" t="s">
        <v>92</v>
      </c>
      <c r="C24" s="4" t="s">
        <v>342</v>
      </c>
      <c r="D24" s="4" t="s">
        <v>343</v>
      </c>
      <c r="E24" s="12" t="s">
        <v>344</v>
      </c>
      <c r="F24" s="4" t="s">
        <v>345</v>
      </c>
      <c r="G24" s="4" t="s">
        <v>346</v>
      </c>
    </row>
    <row r="25" spans="1:7" ht="48" customHeight="1" x14ac:dyDescent="0.3">
      <c r="A25" s="12" t="s">
        <v>347</v>
      </c>
      <c r="B25" s="12" t="s">
        <v>92</v>
      </c>
      <c r="C25" s="4" t="s">
        <v>348</v>
      </c>
      <c r="D25" s="4" t="s">
        <v>349</v>
      </c>
      <c r="E25" s="12" t="s">
        <v>350</v>
      </c>
      <c r="F25" s="4" t="s">
        <v>351</v>
      </c>
      <c r="G25" s="4" t="s">
        <v>352</v>
      </c>
    </row>
    <row r="26" spans="1:7" ht="76.05" customHeight="1" x14ac:dyDescent="0.3">
      <c r="A26" s="12" t="s">
        <v>353</v>
      </c>
      <c r="B26" s="12" t="s">
        <v>354</v>
      </c>
      <c r="C26" s="4" t="s">
        <v>355</v>
      </c>
      <c r="D26" s="4" t="s">
        <v>356</v>
      </c>
      <c r="E26" s="12" t="s">
        <v>251</v>
      </c>
      <c r="F26" s="4" t="s">
        <v>357</v>
      </c>
      <c r="G26" s="4" t="s">
        <v>358</v>
      </c>
    </row>
    <row r="27" spans="1:7" ht="48" customHeight="1" x14ac:dyDescent="0.3">
      <c r="A27" s="12" t="s">
        <v>359</v>
      </c>
      <c r="B27" s="12" t="s">
        <v>155</v>
      </c>
      <c r="C27" s="4" t="s">
        <v>360</v>
      </c>
      <c r="D27" s="4" t="s">
        <v>361</v>
      </c>
      <c r="E27" s="12" t="s">
        <v>333</v>
      </c>
      <c r="F27" s="4" t="s">
        <v>362</v>
      </c>
      <c r="G27" s="4" t="s">
        <v>363</v>
      </c>
    </row>
    <row r="28" spans="1:7" ht="48" customHeight="1" x14ac:dyDescent="0.3">
      <c r="A28" s="12" t="s">
        <v>364</v>
      </c>
      <c r="B28" s="12" t="s">
        <v>108</v>
      </c>
      <c r="C28" s="4" t="s">
        <v>365</v>
      </c>
      <c r="D28" s="4" t="s">
        <v>366</v>
      </c>
      <c r="E28" s="12" t="s">
        <v>272</v>
      </c>
      <c r="F28" s="4" t="s">
        <v>367</v>
      </c>
      <c r="G28" s="4" t="s">
        <v>67</v>
      </c>
    </row>
    <row r="29" spans="1:7" ht="48" customHeight="1" x14ac:dyDescent="0.3">
      <c r="A29" s="12" t="s">
        <v>368</v>
      </c>
      <c r="B29" s="12" t="s">
        <v>134</v>
      </c>
      <c r="C29" s="4" t="s">
        <v>369</v>
      </c>
      <c r="D29" s="4" t="s">
        <v>370</v>
      </c>
      <c r="E29" s="12" t="s">
        <v>251</v>
      </c>
      <c r="F29" s="4" t="s">
        <v>371</v>
      </c>
      <c r="G29" s="4" t="s">
        <v>90</v>
      </c>
    </row>
    <row r="30" spans="1:7" ht="19.95" customHeight="1" x14ac:dyDescent="0.3">
      <c r="A30" s="12" t="s">
        <v>372</v>
      </c>
      <c r="B30" s="12" t="s">
        <v>373</v>
      </c>
      <c r="C30" s="4" t="s">
        <v>374</v>
      </c>
      <c r="D30" s="4" t="s">
        <v>375</v>
      </c>
      <c r="E30" s="12" t="s">
        <v>376</v>
      </c>
      <c r="F30" s="4" t="s">
        <v>377</v>
      </c>
      <c r="G30" s="4" t="s">
        <v>378</v>
      </c>
    </row>
    <row r="31" spans="1:7" ht="132" customHeight="1" x14ac:dyDescent="0.3">
      <c r="A31" s="12" t="s">
        <v>379</v>
      </c>
      <c r="B31" s="12" t="s">
        <v>380</v>
      </c>
      <c r="C31" s="4" t="s">
        <v>381</v>
      </c>
      <c r="D31" s="4" t="s">
        <v>382</v>
      </c>
      <c r="E31" s="12" t="s">
        <v>251</v>
      </c>
      <c r="F31" s="4" t="s">
        <v>383</v>
      </c>
      <c r="G31" s="4" t="s">
        <v>384</v>
      </c>
    </row>
    <row r="32" spans="1:7" ht="61.95" customHeight="1" x14ac:dyDescent="0.3">
      <c r="A32" s="12" t="s">
        <v>385</v>
      </c>
      <c r="B32" s="12" t="s">
        <v>386</v>
      </c>
      <c r="C32" s="4" t="s">
        <v>387</v>
      </c>
      <c r="D32" s="4" t="s">
        <v>388</v>
      </c>
      <c r="E32" s="12" t="s">
        <v>389</v>
      </c>
      <c r="F32" s="4" t="s">
        <v>390</v>
      </c>
      <c r="G32" s="4" t="s">
        <v>67</v>
      </c>
    </row>
    <row r="33" spans="1:7" ht="76.05" customHeight="1" x14ac:dyDescent="0.3">
      <c r="A33" s="12" t="s">
        <v>391</v>
      </c>
      <c r="B33" s="12" t="s">
        <v>392</v>
      </c>
      <c r="C33" s="4" t="s">
        <v>393</v>
      </c>
      <c r="D33" s="4" t="s">
        <v>394</v>
      </c>
      <c r="E33" s="12" t="s">
        <v>251</v>
      </c>
      <c r="F33" s="4" t="s">
        <v>395</v>
      </c>
      <c r="G33" s="4" t="s">
        <v>396</v>
      </c>
    </row>
    <row r="34" spans="1:7" ht="48" customHeight="1" x14ac:dyDescent="0.3">
      <c r="A34" s="12" t="s">
        <v>397</v>
      </c>
      <c r="B34" s="12" t="s">
        <v>176</v>
      </c>
      <c r="C34" s="4" t="s">
        <v>398</v>
      </c>
      <c r="D34" s="4" t="s">
        <v>399</v>
      </c>
      <c r="E34" s="12" t="s">
        <v>257</v>
      </c>
      <c r="F34" s="4" t="s">
        <v>400</v>
      </c>
      <c r="G34" s="4" t="s">
        <v>401</v>
      </c>
    </row>
  </sheetData>
  <autoFilter ref="A4:G3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6A6A6"/>
  </sheetPr>
  <dimension ref="A1:AH48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9" customWidth="1"/>
    <col min="2" max="2" width="12" customWidth="1"/>
    <col min="3" max="32" width="5.21875" customWidth="1"/>
    <col min="33" max="33" width="9" customWidth="1"/>
    <col min="34" max="34" width="26" customWidth="1"/>
  </cols>
  <sheetData>
    <row r="1" spans="1:34" ht="16.8" x14ac:dyDescent="0.3">
      <c r="A1" s="1" t="s">
        <v>402</v>
      </c>
    </row>
    <row r="2" spans="1:34" x14ac:dyDescent="0.3">
      <c r="A2" s="2" t="s">
        <v>403</v>
      </c>
    </row>
    <row r="4" spans="1:34" ht="43.95" customHeight="1" x14ac:dyDescent="0.3">
      <c r="A4" s="3" t="s">
        <v>57</v>
      </c>
      <c r="B4" s="3" t="s">
        <v>56</v>
      </c>
      <c r="C4" s="13" t="s">
        <v>236</v>
      </c>
      <c r="D4" s="13" t="s">
        <v>242</v>
      </c>
      <c r="E4" s="13" t="s">
        <v>248</v>
      </c>
      <c r="F4" s="13" t="s">
        <v>254</v>
      </c>
      <c r="G4" s="13" t="s">
        <v>260</v>
      </c>
      <c r="H4" s="13" t="s">
        <v>265</v>
      </c>
      <c r="I4" s="13" t="s">
        <v>269</v>
      </c>
      <c r="J4" s="13" t="s">
        <v>274</v>
      </c>
      <c r="K4" s="13" t="s">
        <v>280</v>
      </c>
      <c r="L4" s="13" t="s">
        <v>286</v>
      </c>
      <c r="M4" s="13" t="s">
        <v>291</v>
      </c>
      <c r="N4" s="13" t="s">
        <v>298</v>
      </c>
      <c r="O4" s="13" t="s">
        <v>303</v>
      </c>
      <c r="P4" s="13" t="s">
        <v>307</v>
      </c>
      <c r="Q4" s="13" t="s">
        <v>313</v>
      </c>
      <c r="R4" s="13" t="s">
        <v>318</v>
      </c>
      <c r="S4" s="13" t="s">
        <v>324</v>
      </c>
      <c r="T4" s="13" t="s">
        <v>330</v>
      </c>
      <c r="U4" s="13" t="s">
        <v>335</v>
      </c>
      <c r="V4" s="13" t="s">
        <v>341</v>
      </c>
      <c r="W4" s="13" t="s">
        <v>347</v>
      </c>
      <c r="X4" s="13" t="s">
        <v>353</v>
      </c>
      <c r="Y4" s="13" t="s">
        <v>359</v>
      </c>
      <c r="Z4" s="13" t="s">
        <v>364</v>
      </c>
      <c r="AA4" s="13" t="s">
        <v>368</v>
      </c>
      <c r="AB4" s="13" t="s">
        <v>372</v>
      </c>
      <c r="AC4" s="13" t="s">
        <v>379</v>
      </c>
      <c r="AD4" s="13" t="s">
        <v>385</v>
      </c>
      <c r="AE4" s="13" t="s">
        <v>391</v>
      </c>
      <c r="AF4" s="13" t="s">
        <v>397</v>
      </c>
      <c r="AG4" s="3" t="s">
        <v>404</v>
      </c>
      <c r="AH4" s="3" t="s">
        <v>405</v>
      </c>
    </row>
    <row r="5" spans="1:34" x14ac:dyDescent="0.3">
      <c r="A5" s="14" t="s">
        <v>62</v>
      </c>
      <c r="B5" s="15" t="s">
        <v>63</v>
      </c>
      <c r="C5" s="16" t="s">
        <v>406</v>
      </c>
      <c r="D5" s="17"/>
      <c r="E5" s="17"/>
      <c r="F5" s="17"/>
      <c r="G5" s="17"/>
      <c r="H5" s="16" t="s">
        <v>406</v>
      </c>
      <c r="I5" s="16" t="s">
        <v>406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8">
        <f t="shared" ref="AG5:AG42" si="0">COUNTIF(C5:AF5,"X")</f>
        <v>3</v>
      </c>
      <c r="AH5" s="12" t="str">
        <f t="shared" ref="AH5:AH42" si="1">IF(AG5&gt;0,"Cubierto por ET","Verificación directa / regla de diseño")</f>
        <v>Cubierto por ET</v>
      </c>
    </row>
    <row r="6" spans="1:34" x14ac:dyDescent="0.3">
      <c r="A6" s="14" t="s">
        <v>69</v>
      </c>
      <c r="B6" s="15" t="s">
        <v>63</v>
      </c>
      <c r="C6" s="17"/>
      <c r="D6" s="17"/>
      <c r="E6" s="17"/>
      <c r="F6" s="17"/>
      <c r="G6" s="17"/>
      <c r="H6" s="17"/>
      <c r="I6" s="17"/>
      <c r="J6" s="16" t="s">
        <v>406</v>
      </c>
      <c r="K6" s="16" t="s">
        <v>406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8">
        <f t="shared" si="0"/>
        <v>2</v>
      </c>
      <c r="AH6" s="12" t="str">
        <f t="shared" si="1"/>
        <v>Cubierto por ET</v>
      </c>
    </row>
    <row r="7" spans="1:34" x14ac:dyDescent="0.3">
      <c r="A7" s="14" t="s">
        <v>74</v>
      </c>
      <c r="B7" s="15" t="s">
        <v>63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6" t="s">
        <v>406</v>
      </c>
      <c r="N7" s="16" t="s">
        <v>406</v>
      </c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8">
        <f t="shared" si="0"/>
        <v>2</v>
      </c>
      <c r="AH7" s="12" t="str">
        <f t="shared" si="1"/>
        <v>Cubierto por ET</v>
      </c>
    </row>
    <row r="8" spans="1:34" x14ac:dyDescent="0.3">
      <c r="A8" s="14" t="s">
        <v>78</v>
      </c>
      <c r="B8" s="15" t="s">
        <v>63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 t="s">
        <v>406</v>
      </c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8">
        <f t="shared" si="0"/>
        <v>1</v>
      </c>
      <c r="AH8" s="12" t="str">
        <f t="shared" si="1"/>
        <v>Cubierto por ET</v>
      </c>
    </row>
    <row r="9" spans="1:34" x14ac:dyDescent="0.3">
      <c r="A9" s="14" t="s">
        <v>82</v>
      </c>
      <c r="B9" s="15" t="s">
        <v>63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6" t="s">
        <v>406</v>
      </c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8">
        <f t="shared" si="0"/>
        <v>1</v>
      </c>
      <c r="AH9" s="12" t="str">
        <f t="shared" si="1"/>
        <v>Cubierto por ET</v>
      </c>
    </row>
    <row r="10" spans="1:34" x14ac:dyDescent="0.3">
      <c r="A10" s="14" t="s">
        <v>87</v>
      </c>
      <c r="B10" s="15" t="s">
        <v>63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6" t="s">
        <v>406</v>
      </c>
      <c r="S10" s="16" t="s">
        <v>406</v>
      </c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8">
        <f t="shared" si="0"/>
        <v>2</v>
      </c>
      <c r="AH10" s="12" t="str">
        <f t="shared" si="1"/>
        <v>Cubierto por ET</v>
      </c>
    </row>
    <row r="11" spans="1:34" x14ac:dyDescent="0.3">
      <c r="A11" s="14" t="s">
        <v>92</v>
      </c>
      <c r="B11" s="15" t="s">
        <v>63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6" t="s">
        <v>406</v>
      </c>
      <c r="W11" s="16" t="s">
        <v>406</v>
      </c>
      <c r="X11" s="17"/>
      <c r="Y11" s="17"/>
      <c r="Z11" s="17"/>
      <c r="AA11" s="17"/>
      <c r="AB11" s="17"/>
      <c r="AC11" s="17"/>
      <c r="AD11" s="17"/>
      <c r="AE11" s="16" t="s">
        <v>406</v>
      </c>
      <c r="AF11" s="17"/>
      <c r="AG11" s="18">
        <f t="shared" si="0"/>
        <v>3</v>
      </c>
      <c r="AH11" s="12" t="str">
        <f t="shared" si="1"/>
        <v>Cubierto por ET</v>
      </c>
    </row>
    <row r="12" spans="1:34" x14ac:dyDescent="0.3">
      <c r="A12" s="14" t="s">
        <v>96</v>
      </c>
      <c r="B12" s="15" t="s">
        <v>63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6" t="s">
        <v>406</v>
      </c>
      <c r="Y12" s="17"/>
      <c r="Z12" s="17"/>
      <c r="AA12" s="17"/>
      <c r="AB12" s="17"/>
      <c r="AC12" s="17"/>
      <c r="AD12" s="17"/>
      <c r="AE12" s="17"/>
      <c r="AF12" s="17"/>
      <c r="AG12" s="18">
        <f t="shared" si="0"/>
        <v>1</v>
      </c>
      <c r="AH12" s="12" t="str">
        <f t="shared" si="1"/>
        <v>Cubierto por ET</v>
      </c>
    </row>
    <row r="13" spans="1:34" x14ac:dyDescent="0.3">
      <c r="A13" s="14" t="s">
        <v>100</v>
      </c>
      <c r="B13" s="15" t="s">
        <v>63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6" t="s">
        <v>406</v>
      </c>
      <c r="Y13" s="17"/>
      <c r="Z13" s="17"/>
      <c r="AA13" s="17"/>
      <c r="AB13" s="17"/>
      <c r="AC13" s="17"/>
      <c r="AD13" s="17"/>
      <c r="AE13" s="17"/>
      <c r="AF13" s="17"/>
      <c r="AG13" s="18">
        <f t="shared" si="0"/>
        <v>1</v>
      </c>
      <c r="AH13" s="12" t="str">
        <f t="shared" si="1"/>
        <v>Cubierto por ET</v>
      </c>
    </row>
    <row r="14" spans="1:34" x14ac:dyDescent="0.3">
      <c r="A14" s="14" t="s">
        <v>104</v>
      </c>
      <c r="B14" s="15" t="s">
        <v>63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6" t="s">
        <v>406</v>
      </c>
      <c r="AE14" s="17"/>
      <c r="AF14" s="17"/>
      <c r="AG14" s="18">
        <f t="shared" si="0"/>
        <v>1</v>
      </c>
      <c r="AH14" s="12" t="str">
        <f t="shared" si="1"/>
        <v>Cubierto por ET</v>
      </c>
    </row>
    <row r="15" spans="1:34" x14ac:dyDescent="0.3">
      <c r="A15" s="14" t="s">
        <v>108</v>
      </c>
      <c r="B15" s="15" t="s">
        <v>63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6" t="s">
        <v>406</v>
      </c>
      <c r="AA15" s="17"/>
      <c r="AB15" s="17"/>
      <c r="AC15" s="17"/>
      <c r="AD15" s="17"/>
      <c r="AE15" s="17"/>
      <c r="AF15" s="17"/>
      <c r="AG15" s="18">
        <f t="shared" si="0"/>
        <v>1</v>
      </c>
      <c r="AH15" s="12" t="str">
        <f t="shared" si="1"/>
        <v>Cubierto por ET</v>
      </c>
    </row>
    <row r="16" spans="1:34" x14ac:dyDescent="0.3">
      <c r="A16" s="14" t="s">
        <v>113</v>
      </c>
      <c r="B16" s="15" t="s">
        <v>114</v>
      </c>
      <c r="C16" s="17"/>
      <c r="D16" s="16" t="s">
        <v>406</v>
      </c>
      <c r="E16" s="16" t="s">
        <v>406</v>
      </c>
      <c r="F16" s="16" t="s">
        <v>406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8">
        <f t="shared" si="0"/>
        <v>3</v>
      </c>
      <c r="AH16" s="12" t="str">
        <f t="shared" si="1"/>
        <v>Cubierto por ET</v>
      </c>
    </row>
    <row r="17" spans="1:34" x14ac:dyDescent="0.3">
      <c r="A17" s="14" t="s">
        <v>118</v>
      </c>
      <c r="B17" s="15" t="s">
        <v>114</v>
      </c>
      <c r="C17" s="17"/>
      <c r="D17" s="17"/>
      <c r="E17" s="17"/>
      <c r="F17" s="17"/>
      <c r="G17" s="16" t="s">
        <v>406</v>
      </c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8">
        <f t="shared" si="0"/>
        <v>1</v>
      </c>
      <c r="AH17" s="12" t="str">
        <f t="shared" si="1"/>
        <v>Cubierto por ET</v>
      </c>
    </row>
    <row r="18" spans="1:34" x14ac:dyDescent="0.3">
      <c r="A18" s="14" t="s">
        <v>122</v>
      </c>
      <c r="B18" s="15" t="s">
        <v>114</v>
      </c>
      <c r="C18" s="17"/>
      <c r="D18" s="17"/>
      <c r="E18" s="17"/>
      <c r="F18" s="17"/>
      <c r="G18" s="17"/>
      <c r="H18" s="17"/>
      <c r="I18" s="17"/>
      <c r="J18" s="17"/>
      <c r="K18" s="17"/>
      <c r="L18" s="16" t="s">
        <v>406</v>
      </c>
      <c r="M18" s="16" t="s">
        <v>406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8">
        <f t="shared" si="0"/>
        <v>2</v>
      </c>
      <c r="AH18" s="12" t="str">
        <f t="shared" si="1"/>
        <v>Cubierto por ET</v>
      </c>
    </row>
    <row r="19" spans="1:34" x14ac:dyDescent="0.3">
      <c r="A19" s="14" t="s">
        <v>126</v>
      </c>
      <c r="B19" s="15" t="s">
        <v>114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6" t="s">
        <v>406</v>
      </c>
      <c r="U19" s="16" t="s">
        <v>406</v>
      </c>
      <c r="V19" s="17"/>
      <c r="W19" s="17"/>
      <c r="X19" s="17"/>
      <c r="Y19" s="17"/>
      <c r="Z19" s="17"/>
      <c r="AA19" s="17"/>
      <c r="AB19" s="17"/>
      <c r="AC19" s="17"/>
      <c r="AD19" s="17"/>
      <c r="AE19" s="16" t="s">
        <v>406</v>
      </c>
      <c r="AF19" s="17"/>
      <c r="AG19" s="18">
        <f t="shared" si="0"/>
        <v>3</v>
      </c>
      <c r="AH19" s="12" t="str">
        <f t="shared" si="1"/>
        <v>Cubierto por ET</v>
      </c>
    </row>
    <row r="20" spans="1:34" x14ac:dyDescent="0.3">
      <c r="A20" s="14" t="s">
        <v>130</v>
      </c>
      <c r="B20" s="15" t="s">
        <v>114</v>
      </c>
      <c r="C20" s="17"/>
      <c r="D20" s="17"/>
      <c r="E20" s="17"/>
      <c r="F20" s="17"/>
      <c r="G20" s="17"/>
      <c r="H20" s="17"/>
      <c r="I20" s="17"/>
      <c r="J20" s="16" t="s">
        <v>406</v>
      </c>
      <c r="K20" s="16" t="s">
        <v>406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8">
        <f t="shared" si="0"/>
        <v>2</v>
      </c>
      <c r="AH20" s="12" t="str">
        <f t="shared" si="1"/>
        <v>Cubierto por ET</v>
      </c>
    </row>
    <row r="21" spans="1:34" x14ac:dyDescent="0.3">
      <c r="A21" s="14" t="s">
        <v>134</v>
      </c>
      <c r="B21" s="15" t="s">
        <v>114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6" t="s">
        <v>406</v>
      </c>
      <c r="AB21" s="17"/>
      <c r="AC21" s="17"/>
      <c r="AD21" s="17"/>
      <c r="AE21" s="17"/>
      <c r="AF21" s="17"/>
      <c r="AG21" s="18">
        <f t="shared" si="0"/>
        <v>1</v>
      </c>
      <c r="AH21" s="12" t="str">
        <f t="shared" si="1"/>
        <v>Cubierto por ET</v>
      </c>
    </row>
    <row r="22" spans="1:34" x14ac:dyDescent="0.3">
      <c r="A22" s="14" t="s">
        <v>138</v>
      </c>
      <c r="B22" s="15" t="s">
        <v>114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6" t="s">
        <v>406</v>
      </c>
      <c r="Q22" s="16" t="s">
        <v>406</v>
      </c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8">
        <f t="shared" si="0"/>
        <v>2</v>
      </c>
      <c r="AH22" s="12" t="str">
        <f t="shared" si="1"/>
        <v>Cubierto por ET</v>
      </c>
    </row>
    <row r="23" spans="1:34" x14ac:dyDescent="0.3">
      <c r="A23" s="14" t="s">
        <v>142</v>
      </c>
      <c r="B23" s="15" t="s">
        <v>114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6" t="s">
        <v>406</v>
      </c>
      <c r="AC23" s="17"/>
      <c r="AD23" s="17"/>
      <c r="AE23" s="17"/>
      <c r="AF23" s="17"/>
      <c r="AG23" s="18">
        <f t="shared" si="0"/>
        <v>1</v>
      </c>
      <c r="AH23" s="12" t="str">
        <f t="shared" si="1"/>
        <v>Cubierto por ET</v>
      </c>
    </row>
    <row r="24" spans="1:34" x14ac:dyDescent="0.3">
      <c r="A24" s="14" t="s">
        <v>146</v>
      </c>
      <c r="B24" s="15" t="s">
        <v>114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8">
        <f t="shared" si="0"/>
        <v>0</v>
      </c>
      <c r="AH24" s="12" t="str">
        <f t="shared" si="1"/>
        <v>Verificación directa / regla de diseño</v>
      </c>
    </row>
    <row r="25" spans="1:34" x14ac:dyDescent="0.3">
      <c r="A25" s="14" t="s">
        <v>150</v>
      </c>
      <c r="B25" s="15" t="s">
        <v>114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8">
        <f t="shared" si="0"/>
        <v>0</v>
      </c>
      <c r="AH25" s="12" t="str">
        <f t="shared" si="1"/>
        <v>Verificación directa / regla de diseño</v>
      </c>
    </row>
    <row r="26" spans="1:34" x14ac:dyDescent="0.3">
      <c r="A26" s="14" t="s">
        <v>155</v>
      </c>
      <c r="B26" s="15" t="s">
        <v>156</v>
      </c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6" t="s">
        <v>406</v>
      </c>
      <c r="Z26" s="17"/>
      <c r="AA26" s="17"/>
      <c r="AB26" s="17"/>
      <c r="AC26" s="17"/>
      <c r="AD26" s="17"/>
      <c r="AE26" s="17"/>
      <c r="AF26" s="17"/>
      <c r="AG26" s="18">
        <f t="shared" si="0"/>
        <v>1</v>
      </c>
      <c r="AH26" s="12" t="str">
        <f t="shared" si="1"/>
        <v>Cubierto por ET</v>
      </c>
    </row>
    <row r="27" spans="1:34" x14ac:dyDescent="0.3">
      <c r="A27" s="14" t="s">
        <v>160</v>
      </c>
      <c r="B27" s="15" t="s">
        <v>156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8">
        <f t="shared" si="0"/>
        <v>0</v>
      </c>
      <c r="AH27" s="12" t="str">
        <f t="shared" si="1"/>
        <v>Verificación directa / regla de diseño</v>
      </c>
    </row>
    <row r="28" spans="1:34" x14ac:dyDescent="0.3">
      <c r="A28" s="14" t="s">
        <v>164</v>
      </c>
      <c r="B28" s="15" t="s">
        <v>156</v>
      </c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6" t="s">
        <v>406</v>
      </c>
      <c r="Y28" s="17"/>
      <c r="Z28" s="17"/>
      <c r="AA28" s="17"/>
      <c r="AB28" s="17"/>
      <c r="AC28" s="17"/>
      <c r="AD28" s="17"/>
      <c r="AE28" s="17"/>
      <c r="AF28" s="17"/>
      <c r="AG28" s="18">
        <f t="shared" si="0"/>
        <v>1</v>
      </c>
      <c r="AH28" s="12" t="str">
        <f t="shared" si="1"/>
        <v>Cubierto por ET</v>
      </c>
    </row>
    <row r="29" spans="1:34" x14ac:dyDescent="0.3">
      <c r="A29" s="14" t="s">
        <v>168</v>
      </c>
      <c r="B29" s="15" t="s">
        <v>156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8">
        <f t="shared" si="0"/>
        <v>0</v>
      </c>
      <c r="AH29" s="12" t="str">
        <f t="shared" si="1"/>
        <v>Verificación directa / regla de diseño</v>
      </c>
    </row>
    <row r="30" spans="1:34" x14ac:dyDescent="0.3">
      <c r="A30" s="14" t="s">
        <v>172</v>
      </c>
      <c r="B30" s="15" t="s">
        <v>156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8">
        <f t="shared" si="0"/>
        <v>0</v>
      </c>
      <c r="AH30" s="12" t="str">
        <f t="shared" si="1"/>
        <v>Verificación directa / regla de diseño</v>
      </c>
    </row>
    <row r="31" spans="1:34" x14ac:dyDescent="0.3">
      <c r="A31" s="14" t="s">
        <v>176</v>
      </c>
      <c r="B31" s="15" t="s">
        <v>177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6" t="s">
        <v>406</v>
      </c>
      <c r="AG31" s="18">
        <f t="shared" si="0"/>
        <v>1</v>
      </c>
      <c r="AH31" s="12" t="str">
        <f t="shared" si="1"/>
        <v>Cubierto por ET</v>
      </c>
    </row>
    <row r="32" spans="1:34" x14ac:dyDescent="0.3">
      <c r="A32" s="14" t="s">
        <v>182</v>
      </c>
      <c r="B32" s="15" t="s">
        <v>177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6" t="s">
        <v>406</v>
      </c>
      <c r="AC32" s="17"/>
      <c r="AD32" s="17"/>
      <c r="AE32" s="17"/>
      <c r="AF32" s="17"/>
      <c r="AG32" s="18">
        <f t="shared" si="0"/>
        <v>1</v>
      </c>
      <c r="AH32" s="12" t="str">
        <f t="shared" si="1"/>
        <v>Cubierto por ET</v>
      </c>
    </row>
    <row r="33" spans="1:34" x14ac:dyDescent="0.3">
      <c r="A33" s="14" t="s">
        <v>186</v>
      </c>
      <c r="B33" s="15" t="s">
        <v>177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8">
        <f t="shared" si="0"/>
        <v>0</v>
      </c>
      <c r="AH33" s="12" t="str">
        <f t="shared" si="1"/>
        <v>Verificación directa / regla de diseño</v>
      </c>
    </row>
    <row r="34" spans="1:34" x14ac:dyDescent="0.3">
      <c r="A34" s="14" t="s">
        <v>191</v>
      </c>
      <c r="B34" s="15" t="s">
        <v>177</v>
      </c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6" t="s">
        <v>406</v>
      </c>
      <c r="AD34" s="17"/>
      <c r="AE34" s="17"/>
      <c r="AF34" s="17"/>
      <c r="AG34" s="18">
        <f t="shared" si="0"/>
        <v>1</v>
      </c>
      <c r="AH34" s="12" t="str">
        <f t="shared" si="1"/>
        <v>Cubierto por ET</v>
      </c>
    </row>
    <row r="35" spans="1:34" x14ac:dyDescent="0.3">
      <c r="A35" s="14" t="s">
        <v>195</v>
      </c>
      <c r="B35" s="15" t="s">
        <v>177</v>
      </c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6" t="s">
        <v>406</v>
      </c>
      <c r="AD35" s="17"/>
      <c r="AE35" s="17"/>
      <c r="AF35" s="17"/>
      <c r="AG35" s="18">
        <f t="shared" si="0"/>
        <v>1</v>
      </c>
      <c r="AH35" s="12" t="str">
        <f t="shared" si="1"/>
        <v>Cubierto por ET</v>
      </c>
    </row>
    <row r="36" spans="1:34" x14ac:dyDescent="0.3">
      <c r="A36" s="14" t="s">
        <v>198</v>
      </c>
      <c r="B36" s="15" t="s">
        <v>177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6" t="s">
        <v>406</v>
      </c>
      <c r="AE36" s="17"/>
      <c r="AF36" s="17"/>
      <c r="AG36" s="18">
        <f t="shared" si="0"/>
        <v>1</v>
      </c>
      <c r="AH36" s="12" t="str">
        <f t="shared" si="1"/>
        <v>Cubierto por ET</v>
      </c>
    </row>
    <row r="37" spans="1:34" ht="26.4" x14ac:dyDescent="0.3">
      <c r="A37" s="14" t="s">
        <v>202</v>
      </c>
      <c r="B37" s="15" t="s">
        <v>177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8">
        <f t="shared" si="0"/>
        <v>0</v>
      </c>
      <c r="AH37" s="12" t="str">
        <f t="shared" si="1"/>
        <v>Verificación directa / regla de diseño</v>
      </c>
    </row>
    <row r="38" spans="1:34" ht="26.4" x14ac:dyDescent="0.3">
      <c r="A38" s="14" t="s">
        <v>206</v>
      </c>
      <c r="B38" s="15" t="s">
        <v>177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8">
        <f t="shared" si="0"/>
        <v>0</v>
      </c>
      <c r="AH38" s="12" t="str">
        <f t="shared" si="1"/>
        <v>Verificación directa / regla de diseño</v>
      </c>
    </row>
    <row r="39" spans="1:34" ht="26.4" x14ac:dyDescent="0.3">
      <c r="A39" s="14" t="s">
        <v>210</v>
      </c>
      <c r="B39" s="15" t="s">
        <v>177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8">
        <f t="shared" si="0"/>
        <v>0</v>
      </c>
      <c r="AH39" s="12" t="str">
        <f t="shared" si="1"/>
        <v>Verificación directa / regla de diseño</v>
      </c>
    </row>
    <row r="40" spans="1:34" ht="26.4" x14ac:dyDescent="0.3">
      <c r="A40" s="14" t="s">
        <v>213</v>
      </c>
      <c r="B40" s="15" t="s">
        <v>177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8">
        <f t="shared" si="0"/>
        <v>0</v>
      </c>
      <c r="AH40" s="12" t="str">
        <f t="shared" si="1"/>
        <v>Verificación directa / regla de diseño</v>
      </c>
    </row>
    <row r="41" spans="1:34" ht="26.4" x14ac:dyDescent="0.3">
      <c r="A41" s="14" t="s">
        <v>217</v>
      </c>
      <c r="B41" s="15" t="s">
        <v>177</v>
      </c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8">
        <f t="shared" si="0"/>
        <v>0</v>
      </c>
      <c r="AH41" s="12" t="str">
        <f t="shared" si="1"/>
        <v>Verificación directa / regla de diseño</v>
      </c>
    </row>
    <row r="42" spans="1:34" ht="26.4" x14ac:dyDescent="0.3">
      <c r="A42" s="14" t="s">
        <v>221</v>
      </c>
      <c r="B42" s="15" t="s">
        <v>177</v>
      </c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8">
        <f t="shared" si="0"/>
        <v>0</v>
      </c>
      <c r="AH42" s="12" t="str">
        <f t="shared" si="1"/>
        <v>Verificación directa / regla de diseño</v>
      </c>
    </row>
    <row r="43" spans="1:34" ht="39.6" x14ac:dyDescent="0.3">
      <c r="A43" s="5" t="s">
        <v>407</v>
      </c>
      <c r="C43" s="18">
        <f t="shared" ref="C43:AF43" si="2">COUNTIF(C5:C42,"X")</f>
        <v>1</v>
      </c>
      <c r="D43" s="18">
        <f t="shared" si="2"/>
        <v>1</v>
      </c>
      <c r="E43" s="18">
        <f t="shared" si="2"/>
        <v>1</v>
      </c>
      <c r="F43" s="18">
        <f t="shared" si="2"/>
        <v>1</v>
      </c>
      <c r="G43" s="18">
        <f t="shared" si="2"/>
        <v>1</v>
      </c>
      <c r="H43" s="18">
        <f t="shared" si="2"/>
        <v>1</v>
      </c>
      <c r="I43" s="18">
        <f t="shared" si="2"/>
        <v>1</v>
      </c>
      <c r="J43" s="18">
        <f t="shared" si="2"/>
        <v>2</v>
      </c>
      <c r="K43" s="18">
        <f t="shared" si="2"/>
        <v>2</v>
      </c>
      <c r="L43" s="18">
        <f t="shared" si="2"/>
        <v>1</v>
      </c>
      <c r="M43" s="18">
        <f t="shared" si="2"/>
        <v>2</v>
      </c>
      <c r="N43" s="18">
        <f t="shared" si="2"/>
        <v>1</v>
      </c>
      <c r="O43" s="18">
        <f t="shared" si="2"/>
        <v>1</v>
      </c>
      <c r="P43" s="18">
        <f t="shared" si="2"/>
        <v>1</v>
      </c>
      <c r="Q43" s="18">
        <f t="shared" si="2"/>
        <v>2</v>
      </c>
      <c r="R43" s="18">
        <f t="shared" si="2"/>
        <v>1</v>
      </c>
      <c r="S43" s="18">
        <f t="shared" si="2"/>
        <v>1</v>
      </c>
      <c r="T43" s="18">
        <f t="shared" si="2"/>
        <v>1</v>
      </c>
      <c r="U43" s="18">
        <f t="shared" si="2"/>
        <v>1</v>
      </c>
      <c r="V43" s="18">
        <f t="shared" si="2"/>
        <v>1</v>
      </c>
      <c r="W43" s="18">
        <f t="shared" si="2"/>
        <v>1</v>
      </c>
      <c r="X43" s="18">
        <f t="shared" si="2"/>
        <v>3</v>
      </c>
      <c r="Y43" s="18">
        <f t="shared" si="2"/>
        <v>1</v>
      </c>
      <c r="Z43" s="18">
        <f t="shared" si="2"/>
        <v>1</v>
      </c>
      <c r="AA43" s="18">
        <f t="shared" si="2"/>
        <v>1</v>
      </c>
      <c r="AB43" s="18">
        <f t="shared" si="2"/>
        <v>2</v>
      </c>
      <c r="AC43" s="18">
        <f t="shared" si="2"/>
        <v>2</v>
      </c>
      <c r="AD43" s="18">
        <f t="shared" si="2"/>
        <v>2</v>
      </c>
      <c r="AE43" s="18">
        <f t="shared" si="2"/>
        <v>2</v>
      </c>
      <c r="AF43" s="18">
        <f t="shared" si="2"/>
        <v>1</v>
      </c>
    </row>
    <row r="45" spans="1:34" ht="26.4" x14ac:dyDescent="0.3">
      <c r="A45" s="5" t="s">
        <v>408</v>
      </c>
    </row>
    <row r="46" spans="1:34" ht="52.8" x14ac:dyDescent="0.3">
      <c r="A46" s="19" t="s">
        <v>409</v>
      </c>
      <c r="E46" s="18">
        <f>COUNTIF(AG5:AG42,"&gt;0")</f>
        <v>26</v>
      </c>
    </row>
    <row r="47" spans="1:34" ht="66" x14ac:dyDescent="0.3">
      <c r="A47" s="19" t="s">
        <v>410</v>
      </c>
      <c r="E47" s="18">
        <f>COUNTIF(C43:AF43,0)</f>
        <v>0</v>
      </c>
    </row>
    <row r="48" spans="1:34" ht="42" customHeight="1" x14ac:dyDescent="0.3">
      <c r="A48" s="47" t="s">
        <v>411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</row>
  </sheetData>
  <mergeCells count="1">
    <mergeCell ref="A48:X48"/>
  </mergeCells>
  <conditionalFormatting sqref="AH5:AH42">
    <cfRule type="expression" dxfId="24" priority="1">
      <formula>AG5=0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5B6"/>
  </sheetPr>
  <dimension ref="A1:E19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4" width="9" customWidth="1"/>
    <col min="5" max="5" width="70" customWidth="1"/>
  </cols>
  <sheetData>
    <row r="1" spans="1:5" ht="16.8" x14ac:dyDescent="0.3">
      <c r="A1" s="1" t="s">
        <v>412</v>
      </c>
    </row>
    <row r="2" spans="1:5" x14ac:dyDescent="0.3">
      <c r="A2" s="2" t="s">
        <v>413</v>
      </c>
    </row>
    <row r="4" spans="1:5" ht="30" customHeight="1" x14ac:dyDescent="0.3">
      <c r="A4" s="3" t="s">
        <v>414</v>
      </c>
      <c r="B4" s="3" t="s">
        <v>415</v>
      </c>
      <c r="C4" s="3" t="s">
        <v>90</v>
      </c>
      <c r="D4" s="3" t="s">
        <v>416</v>
      </c>
      <c r="E4" s="3" t="s">
        <v>417</v>
      </c>
    </row>
    <row r="5" spans="1:5" ht="61.95" customHeight="1" x14ac:dyDescent="0.3">
      <c r="A5" s="4" t="s">
        <v>418</v>
      </c>
      <c r="B5" s="20">
        <v>25</v>
      </c>
      <c r="C5" s="20">
        <v>2</v>
      </c>
      <c r="D5" s="20">
        <v>5</v>
      </c>
      <c r="E5" s="4" t="s">
        <v>419</v>
      </c>
    </row>
    <row r="6" spans="1:5" ht="19.95" customHeight="1" x14ac:dyDescent="0.3">
      <c r="A6" s="4" t="s">
        <v>420</v>
      </c>
      <c r="B6" s="20">
        <v>20</v>
      </c>
      <c r="C6" s="20">
        <v>4</v>
      </c>
      <c r="D6" s="20">
        <v>4</v>
      </c>
      <c r="E6" s="4" t="s">
        <v>421</v>
      </c>
    </row>
    <row r="7" spans="1:5" ht="61.95" customHeight="1" x14ac:dyDescent="0.3">
      <c r="A7" s="4" t="s">
        <v>422</v>
      </c>
      <c r="B7" s="20">
        <v>15</v>
      </c>
      <c r="C7" s="20">
        <v>4</v>
      </c>
      <c r="D7" s="20">
        <v>3</v>
      </c>
      <c r="E7" s="4" t="s">
        <v>423</v>
      </c>
    </row>
    <row r="8" spans="1:5" ht="48" customHeight="1" x14ac:dyDescent="0.3">
      <c r="A8" s="4" t="s">
        <v>424</v>
      </c>
      <c r="B8" s="20">
        <v>15</v>
      </c>
      <c r="C8" s="20">
        <v>4</v>
      </c>
      <c r="D8" s="20">
        <v>3</v>
      </c>
      <c r="E8" s="4" t="s">
        <v>425</v>
      </c>
    </row>
    <row r="9" spans="1:5" ht="48" customHeight="1" x14ac:dyDescent="0.3">
      <c r="A9" s="4" t="s">
        <v>426</v>
      </c>
      <c r="B9" s="20">
        <v>15</v>
      </c>
      <c r="C9" s="20">
        <v>2</v>
      </c>
      <c r="D9" s="20">
        <v>4</v>
      </c>
      <c r="E9" s="4" t="s">
        <v>427</v>
      </c>
    </row>
    <row r="10" spans="1:5" ht="19.95" customHeight="1" x14ac:dyDescent="0.3">
      <c r="A10" s="4" t="s">
        <v>428</v>
      </c>
      <c r="B10" s="20">
        <v>10</v>
      </c>
      <c r="C10" s="20">
        <v>3</v>
      </c>
      <c r="D10" s="20">
        <v>4</v>
      </c>
      <c r="E10" s="4" t="s">
        <v>429</v>
      </c>
    </row>
    <row r="11" spans="1:5" x14ac:dyDescent="0.3">
      <c r="A11" s="21" t="s">
        <v>430</v>
      </c>
      <c r="B11" s="22">
        <f>SUM(B5:B10)</f>
        <v>100</v>
      </c>
      <c r="C11" s="23">
        <f>SUMPRODUCT($B$5:$B$10,C5:C10)/100</f>
        <v>3.1</v>
      </c>
      <c r="D11" s="23">
        <f>SUMPRODUCT($B$5:$B$10,D5:D10)/100</f>
        <v>3.95</v>
      </c>
      <c r="E11" s="24"/>
    </row>
    <row r="12" spans="1:5" x14ac:dyDescent="0.3">
      <c r="A12" s="19" t="s">
        <v>431</v>
      </c>
      <c r="B12" s="12" t="str">
        <f>IF(B11=100,"OK","NO: revisar pesos")</f>
        <v>OK</v>
      </c>
    </row>
    <row r="13" spans="1:5" x14ac:dyDescent="0.3">
      <c r="A13" s="19" t="s">
        <v>432</v>
      </c>
      <c r="B13" s="12" t="str">
        <f>INDEX($C$4:$D$4,MATCH(MAX(C11:D11),C11:D11,0))</f>
        <v>B</v>
      </c>
    </row>
    <row r="15" spans="1:5" x14ac:dyDescent="0.3">
      <c r="A15" s="5" t="s">
        <v>433</v>
      </c>
    </row>
    <row r="16" spans="1:5" ht="48" customHeight="1" x14ac:dyDescent="0.3">
      <c r="A16" s="25" t="s">
        <v>434</v>
      </c>
      <c r="B16" s="49" t="s">
        <v>435</v>
      </c>
      <c r="C16" s="48"/>
      <c r="D16" s="48"/>
      <c r="E16" s="48"/>
    </row>
    <row r="17" spans="1:5" ht="48" customHeight="1" x14ac:dyDescent="0.3">
      <c r="A17" s="25" t="s">
        <v>436</v>
      </c>
      <c r="B17" s="49" t="s">
        <v>437</v>
      </c>
      <c r="C17" s="48"/>
      <c r="D17" s="48"/>
      <c r="E17" s="48"/>
    </row>
    <row r="19" spans="1:5" ht="48" customHeight="1" x14ac:dyDescent="0.3">
      <c r="A19" s="25" t="s">
        <v>438</v>
      </c>
      <c r="B19" s="49" t="s">
        <v>439</v>
      </c>
      <c r="C19" s="48"/>
      <c r="D19" s="48"/>
      <c r="E19" s="48"/>
    </row>
  </sheetData>
  <mergeCells count="3">
    <mergeCell ref="B17:E17"/>
    <mergeCell ref="B19:E19"/>
    <mergeCell ref="B16:E16"/>
  </mergeCells>
  <conditionalFormatting sqref="B12">
    <cfRule type="expression" dxfId="23" priority="1">
      <formula>LEFT(B12,2)="NO"</formula>
    </cfRule>
    <cfRule type="expression" dxfId="22" priority="2">
      <formula>LEFT(B12,2)&lt;&gt;"NO"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75B6"/>
  </sheetPr>
  <dimension ref="A1:E19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4" width="9" customWidth="1"/>
    <col min="5" max="5" width="70" customWidth="1"/>
  </cols>
  <sheetData>
    <row r="1" spans="1:5" ht="16.8" x14ac:dyDescent="0.3">
      <c r="A1" s="1" t="s">
        <v>440</v>
      </c>
    </row>
    <row r="2" spans="1:5" x14ac:dyDescent="0.3">
      <c r="A2" s="2" t="s">
        <v>413</v>
      </c>
    </row>
    <row r="4" spans="1:5" ht="30" customHeight="1" x14ac:dyDescent="0.3">
      <c r="A4" s="3" t="s">
        <v>414</v>
      </c>
      <c r="B4" s="3" t="s">
        <v>415</v>
      </c>
      <c r="C4" s="3" t="s">
        <v>90</v>
      </c>
      <c r="D4" s="3" t="s">
        <v>416</v>
      </c>
      <c r="E4" s="3" t="s">
        <v>417</v>
      </c>
    </row>
    <row r="5" spans="1:5" ht="48" customHeight="1" x14ac:dyDescent="0.3">
      <c r="A5" s="4" t="s">
        <v>441</v>
      </c>
      <c r="B5" s="20">
        <v>25</v>
      </c>
      <c r="C5" s="20">
        <v>2</v>
      </c>
      <c r="D5" s="20">
        <v>5</v>
      </c>
      <c r="E5" s="4" t="s">
        <v>442</v>
      </c>
    </row>
    <row r="6" spans="1:5" ht="61.95" customHeight="1" x14ac:dyDescent="0.3">
      <c r="A6" s="4" t="s">
        <v>418</v>
      </c>
      <c r="B6" s="20">
        <v>20</v>
      </c>
      <c r="C6" s="20">
        <v>5</v>
      </c>
      <c r="D6" s="20">
        <v>3</v>
      </c>
      <c r="E6" s="4" t="s">
        <v>443</v>
      </c>
    </row>
    <row r="7" spans="1:5" ht="48" customHeight="1" x14ac:dyDescent="0.3">
      <c r="A7" s="4" t="s">
        <v>444</v>
      </c>
      <c r="B7" s="20">
        <v>20</v>
      </c>
      <c r="C7" s="20">
        <v>5</v>
      </c>
      <c r="D7" s="20">
        <v>1</v>
      </c>
      <c r="E7" s="4" t="s">
        <v>445</v>
      </c>
    </row>
    <row r="8" spans="1:5" ht="48" customHeight="1" x14ac:dyDescent="0.3">
      <c r="A8" s="4" t="s">
        <v>446</v>
      </c>
      <c r="B8" s="20">
        <v>15</v>
      </c>
      <c r="C8" s="20">
        <v>5</v>
      </c>
      <c r="D8" s="20">
        <v>2</v>
      </c>
      <c r="E8" s="4" t="s">
        <v>447</v>
      </c>
    </row>
    <row r="9" spans="1:5" ht="61.95" customHeight="1" x14ac:dyDescent="0.3">
      <c r="A9" s="4" t="s">
        <v>448</v>
      </c>
      <c r="B9" s="20">
        <v>10</v>
      </c>
      <c r="C9" s="20">
        <v>4</v>
      </c>
      <c r="D9" s="20">
        <v>3</v>
      </c>
      <c r="E9" s="4" t="s">
        <v>449</v>
      </c>
    </row>
    <row r="10" spans="1:5" ht="19.95" customHeight="1" x14ac:dyDescent="0.3">
      <c r="A10" s="4" t="s">
        <v>450</v>
      </c>
      <c r="B10" s="20">
        <v>10</v>
      </c>
      <c r="C10" s="20">
        <v>4</v>
      </c>
      <c r="D10" s="20">
        <v>3</v>
      </c>
      <c r="E10" s="4" t="s">
        <v>451</v>
      </c>
    </row>
    <row r="11" spans="1:5" x14ac:dyDescent="0.3">
      <c r="A11" s="21" t="s">
        <v>430</v>
      </c>
      <c r="B11" s="22">
        <f>SUM(B5:B10)</f>
        <v>100</v>
      </c>
      <c r="C11" s="23">
        <f>SUMPRODUCT($B$5:$B$10,C5:C10)/100</f>
        <v>4.05</v>
      </c>
      <c r="D11" s="23">
        <f>SUMPRODUCT($B$5:$B$10,D5:D10)/100</f>
        <v>2.95</v>
      </c>
      <c r="E11" s="24"/>
    </row>
    <row r="12" spans="1:5" x14ac:dyDescent="0.3">
      <c r="A12" s="19" t="s">
        <v>431</v>
      </c>
      <c r="B12" s="12" t="str">
        <f>IF(B11=100,"OK","NO: revisar pesos")</f>
        <v>OK</v>
      </c>
    </row>
    <row r="13" spans="1:5" x14ac:dyDescent="0.3">
      <c r="A13" s="19" t="s">
        <v>432</v>
      </c>
      <c r="B13" s="12" t="str">
        <f>INDEX($C$4:$D$4,MATCH(MAX(C11:D11),C11:D11,0))</f>
        <v>A</v>
      </c>
    </row>
    <row r="15" spans="1:5" x14ac:dyDescent="0.3">
      <c r="A15" s="5" t="s">
        <v>433</v>
      </c>
    </row>
    <row r="16" spans="1:5" ht="48" customHeight="1" x14ac:dyDescent="0.3">
      <c r="A16" s="25" t="s">
        <v>452</v>
      </c>
      <c r="B16" s="49" t="s">
        <v>453</v>
      </c>
      <c r="C16" s="48"/>
      <c r="D16" s="48"/>
      <c r="E16" s="48"/>
    </row>
    <row r="17" spans="1:5" ht="48" customHeight="1" x14ac:dyDescent="0.3">
      <c r="A17" s="25" t="s">
        <v>454</v>
      </c>
      <c r="B17" s="49" t="s">
        <v>455</v>
      </c>
      <c r="C17" s="48"/>
      <c r="D17" s="48"/>
      <c r="E17" s="48"/>
    </row>
    <row r="19" spans="1:5" ht="48" customHeight="1" x14ac:dyDescent="0.3">
      <c r="A19" s="25" t="s">
        <v>438</v>
      </c>
      <c r="B19" s="49" t="s">
        <v>456</v>
      </c>
      <c r="C19" s="48"/>
      <c r="D19" s="48"/>
      <c r="E19" s="48"/>
    </row>
  </sheetData>
  <mergeCells count="3">
    <mergeCell ref="B17:E17"/>
    <mergeCell ref="B19:E19"/>
    <mergeCell ref="B16:E16"/>
  </mergeCells>
  <conditionalFormatting sqref="B12">
    <cfRule type="expression" dxfId="21" priority="1">
      <formula>LEFT(B12,2)="NO"</formula>
    </cfRule>
    <cfRule type="expression" dxfId="20" priority="2">
      <formula>LEFT(B12,2)&lt;&gt;"NO"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E75B6"/>
  </sheetPr>
  <dimension ref="A1:F19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0" customWidth="1"/>
    <col min="2" max="5" width="9" customWidth="1"/>
    <col min="6" max="6" width="70" customWidth="1"/>
  </cols>
  <sheetData>
    <row r="1" spans="1:6" ht="16.8" x14ac:dyDescent="0.3">
      <c r="A1" s="1" t="s">
        <v>457</v>
      </c>
    </row>
    <row r="2" spans="1:6" x14ac:dyDescent="0.3">
      <c r="A2" s="2" t="s">
        <v>413</v>
      </c>
    </row>
    <row r="4" spans="1:6" ht="30" customHeight="1" x14ac:dyDescent="0.3">
      <c r="A4" s="3" t="s">
        <v>414</v>
      </c>
      <c r="B4" s="3" t="s">
        <v>415</v>
      </c>
      <c r="C4" s="3" t="s">
        <v>90</v>
      </c>
      <c r="D4" s="3" t="s">
        <v>416</v>
      </c>
      <c r="E4" s="3" t="s">
        <v>458</v>
      </c>
      <c r="F4" s="3" t="s">
        <v>417</v>
      </c>
    </row>
    <row r="5" spans="1:6" ht="48" customHeight="1" x14ac:dyDescent="0.3">
      <c r="A5" s="4" t="s">
        <v>459</v>
      </c>
      <c r="B5" s="20">
        <v>30</v>
      </c>
      <c r="C5" s="20">
        <v>1</v>
      </c>
      <c r="D5" s="20">
        <v>4</v>
      </c>
      <c r="E5" s="20">
        <v>5</v>
      </c>
      <c r="F5" s="4" t="s">
        <v>460</v>
      </c>
    </row>
    <row r="6" spans="1:6" ht="48" customHeight="1" x14ac:dyDescent="0.3">
      <c r="A6" s="4" t="s">
        <v>418</v>
      </c>
      <c r="B6" s="20">
        <v>25</v>
      </c>
      <c r="C6" s="20">
        <v>5</v>
      </c>
      <c r="D6" s="20">
        <v>3</v>
      </c>
      <c r="E6" s="20">
        <v>1</v>
      </c>
      <c r="F6" s="4" t="s">
        <v>461</v>
      </c>
    </row>
    <row r="7" spans="1:6" ht="19.95" customHeight="1" x14ac:dyDescent="0.3">
      <c r="A7" s="4" t="s">
        <v>422</v>
      </c>
      <c r="B7" s="20">
        <v>20</v>
      </c>
      <c r="C7" s="20">
        <v>5</v>
      </c>
      <c r="D7" s="20">
        <v>4</v>
      </c>
      <c r="E7" s="20">
        <v>1</v>
      </c>
      <c r="F7" s="4" t="s">
        <v>462</v>
      </c>
    </row>
    <row r="8" spans="1:6" ht="19.95" customHeight="1" x14ac:dyDescent="0.3">
      <c r="A8" s="4" t="s">
        <v>424</v>
      </c>
      <c r="B8" s="20">
        <v>15</v>
      </c>
      <c r="C8" s="20">
        <v>5</v>
      </c>
      <c r="D8" s="20">
        <v>3</v>
      </c>
      <c r="E8" s="20">
        <v>2</v>
      </c>
      <c r="F8" s="4"/>
    </row>
    <row r="9" spans="1:6" ht="19.95" customHeight="1" x14ac:dyDescent="0.3">
      <c r="A9" s="4" t="s">
        <v>450</v>
      </c>
      <c r="B9" s="20">
        <v>10</v>
      </c>
      <c r="C9" s="20">
        <v>4</v>
      </c>
      <c r="D9" s="20">
        <v>3</v>
      </c>
      <c r="E9" s="20">
        <v>2</v>
      </c>
      <c r="F9" s="4" t="s">
        <v>463</v>
      </c>
    </row>
    <row r="10" spans="1:6" x14ac:dyDescent="0.3">
      <c r="A10" s="21" t="s">
        <v>430</v>
      </c>
      <c r="B10" s="22">
        <f>SUM(B5:B9)</f>
        <v>100</v>
      </c>
      <c r="C10" s="23">
        <f>SUMPRODUCT($B$5:$B$9,C5:C9)/100</f>
        <v>3.7</v>
      </c>
      <c r="D10" s="23">
        <f>SUMPRODUCT($B$5:$B$9,D5:D9)/100</f>
        <v>3.5</v>
      </c>
      <c r="E10" s="23">
        <f>SUMPRODUCT($B$5:$B$9,E5:E9)/100</f>
        <v>2.4500000000000002</v>
      </c>
      <c r="F10" s="24"/>
    </row>
    <row r="11" spans="1:6" x14ac:dyDescent="0.3">
      <c r="A11" s="19" t="s">
        <v>431</v>
      </c>
      <c r="B11" s="12" t="str">
        <f>IF(B10=100,"OK","NO: revisar pesos")</f>
        <v>OK</v>
      </c>
    </row>
    <row r="12" spans="1:6" x14ac:dyDescent="0.3">
      <c r="A12" s="19" t="s">
        <v>432</v>
      </c>
      <c r="B12" s="12" t="str">
        <f>INDEX($C$4:$E$4,MATCH(MAX(C10:E10),C10:E10,0))</f>
        <v>A</v>
      </c>
    </row>
    <row r="14" spans="1:6" x14ac:dyDescent="0.3">
      <c r="A14" s="5" t="s">
        <v>433</v>
      </c>
    </row>
    <row r="15" spans="1:6" ht="19.95" customHeight="1" x14ac:dyDescent="0.3">
      <c r="A15" s="25" t="s">
        <v>464</v>
      </c>
      <c r="B15" s="49" t="s">
        <v>465</v>
      </c>
      <c r="C15" s="48"/>
      <c r="D15" s="48"/>
      <c r="E15" s="48"/>
      <c r="F15" s="48"/>
    </row>
    <row r="16" spans="1:6" ht="19.95" customHeight="1" x14ac:dyDescent="0.3">
      <c r="A16" s="25" t="s">
        <v>466</v>
      </c>
      <c r="B16" s="49" t="s">
        <v>467</v>
      </c>
      <c r="C16" s="48"/>
      <c r="D16" s="48"/>
      <c r="E16" s="48"/>
      <c r="F16" s="48"/>
    </row>
    <row r="17" spans="1:6" ht="19.95" customHeight="1" x14ac:dyDescent="0.3">
      <c r="A17" s="25" t="s">
        <v>468</v>
      </c>
      <c r="B17" s="49" t="s">
        <v>469</v>
      </c>
      <c r="C17" s="48"/>
      <c r="D17" s="48"/>
      <c r="E17" s="48"/>
      <c r="F17" s="48"/>
    </row>
    <row r="19" spans="1:6" ht="61.95" customHeight="1" x14ac:dyDescent="0.3">
      <c r="A19" s="25" t="s">
        <v>438</v>
      </c>
      <c r="B19" s="49" t="s">
        <v>470</v>
      </c>
      <c r="C19" s="48"/>
      <c r="D19" s="48"/>
      <c r="E19" s="48"/>
      <c r="F19" s="48"/>
    </row>
  </sheetData>
  <mergeCells count="4">
    <mergeCell ref="B16:F16"/>
    <mergeCell ref="B15:F15"/>
    <mergeCell ref="B17:F17"/>
    <mergeCell ref="B19:F19"/>
  </mergeCells>
  <conditionalFormatting sqref="B11">
    <cfRule type="expression" dxfId="19" priority="1">
      <formula>LEFT(B11,2)="NO"</formula>
    </cfRule>
    <cfRule type="expression" dxfId="18" priority="2">
      <formula>LEFT(B11,2)&lt;&gt;"NO"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A6A6A6"/>
  </sheetPr>
  <dimension ref="A1:D15"/>
  <sheetViews>
    <sheetView showGridLines="0" workbookViewId="0"/>
  </sheetViews>
  <sheetFormatPr baseColWidth="10" defaultColWidth="8.88671875" defaultRowHeight="14.4" x14ac:dyDescent="0.3"/>
  <cols>
    <col min="1" max="1" width="30" customWidth="1"/>
    <col min="2" max="2" width="40" customWidth="1"/>
    <col min="3" max="3" width="60" customWidth="1"/>
    <col min="4" max="4" width="26" customWidth="1"/>
  </cols>
  <sheetData>
    <row r="1" spans="1:4" ht="16.8" x14ac:dyDescent="0.3">
      <c r="A1" s="1" t="s">
        <v>471</v>
      </c>
    </row>
    <row r="2" spans="1:4" x14ac:dyDescent="0.3">
      <c r="A2" s="2" t="s">
        <v>472</v>
      </c>
    </row>
    <row r="3" spans="1:4" ht="26.4" x14ac:dyDescent="0.3">
      <c r="A3" s="5" t="s">
        <v>473</v>
      </c>
    </row>
    <row r="4" spans="1:4" ht="30" customHeight="1" x14ac:dyDescent="0.3">
      <c r="A4" s="3" t="s">
        <v>474</v>
      </c>
      <c r="B4" s="3" t="s">
        <v>475</v>
      </c>
      <c r="C4" s="3" t="s">
        <v>476</v>
      </c>
      <c r="D4" s="3" t="s">
        <v>438</v>
      </c>
    </row>
    <row r="5" spans="1:4" ht="48" customHeight="1" x14ac:dyDescent="0.3">
      <c r="A5" s="4" t="s">
        <v>477</v>
      </c>
      <c r="B5" s="4" t="s">
        <v>478</v>
      </c>
      <c r="C5" s="4" t="s">
        <v>479</v>
      </c>
      <c r="D5" s="4" t="s">
        <v>251</v>
      </c>
    </row>
    <row r="6" spans="1:4" ht="61.95" customHeight="1" x14ac:dyDescent="0.3">
      <c r="A6" s="4" t="s">
        <v>480</v>
      </c>
      <c r="B6" s="4" t="s">
        <v>481</v>
      </c>
      <c r="C6" s="4" t="s">
        <v>482</v>
      </c>
      <c r="D6" s="4" t="s">
        <v>483</v>
      </c>
    </row>
    <row r="7" spans="1:4" ht="48" customHeight="1" x14ac:dyDescent="0.3">
      <c r="A7" s="4" t="s">
        <v>484</v>
      </c>
      <c r="B7" s="4" t="s">
        <v>485</v>
      </c>
      <c r="C7" s="4" t="s">
        <v>486</v>
      </c>
      <c r="D7" s="4" t="s">
        <v>251</v>
      </c>
    </row>
    <row r="8" spans="1:4" ht="61.95" customHeight="1" x14ac:dyDescent="0.3">
      <c r="A8" s="4" t="s">
        <v>487</v>
      </c>
      <c r="B8" s="4" t="s">
        <v>488</v>
      </c>
      <c r="C8" s="4" t="s">
        <v>489</v>
      </c>
      <c r="D8" s="4" t="s">
        <v>251</v>
      </c>
    </row>
    <row r="10" spans="1:4" ht="26.4" x14ac:dyDescent="0.3">
      <c r="A10" s="5" t="s">
        <v>490</v>
      </c>
    </row>
    <row r="11" spans="1:4" ht="30" customHeight="1" x14ac:dyDescent="0.3">
      <c r="A11" s="3" t="s">
        <v>438</v>
      </c>
      <c r="B11" s="3" t="s">
        <v>433</v>
      </c>
      <c r="C11" s="3" t="s">
        <v>491</v>
      </c>
    </row>
    <row r="12" spans="1:4" ht="103.95" customHeight="1" x14ac:dyDescent="0.3">
      <c r="A12" s="4" t="s">
        <v>492</v>
      </c>
      <c r="B12" s="4" t="s">
        <v>493</v>
      </c>
      <c r="C12" s="4" t="s">
        <v>494</v>
      </c>
    </row>
    <row r="13" spans="1:4" ht="61.95" customHeight="1" x14ac:dyDescent="0.3">
      <c r="A13" s="4" t="s">
        <v>495</v>
      </c>
      <c r="B13" s="4" t="s">
        <v>496</v>
      </c>
      <c r="C13" s="4" t="s">
        <v>497</v>
      </c>
    </row>
    <row r="14" spans="1:4" ht="103.95" customHeight="1" x14ac:dyDescent="0.3">
      <c r="A14" s="4" t="s">
        <v>498</v>
      </c>
      <c r="B14" s="4" t="s">
        <v>499</v>
      </c>
      <c r="C14" s="4" t="s">
        <v>500</v>
      </c>
    </row>
    <row r="15" spans="1:4" ht="90" customHeight="1" x14ac:dyDescent="0.3">
      <c r="A15" s="4" t="s">
        <v>501</v>
      </c>
      <c r="B15" s="4" t="s">
        <v>502</v>
      </c>
      <c r="C15" s="4" t="s">
        <v>503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48235"/>
  </sheetPr>
  <dimension ref="A1:D13"/>
  <sheetViews>
    <sheetView showGridLines="0" workbookViewId="0"/>
  </sheetViews>
  <sheetFormatPr baseColWidth="10" defaultColWidth="8.88671875" defaultRowHeight="14.4" x14ac:dyDescent="0.3"/>
  <cols>
    <col min="1" max="1" width="40" customWidth="1"/>
    <col min="2" max="3" width="12" customWidth="1"/>
    <col min="4" max="4" width="56" customWidth="1"/>
  </cols>
  <sheetData>
    <row r="1" spans="1:4" ht="16.8" x14ac:dyDescent="0.3">
      <c r="A1" s="1" t="s">
        <v>504</v>
      </c>
    </row>
    <row r="2" spans="1:4" x14ac:dyDescent="0.3">
      <c r="A2" s="2" t="s">
        <v>505</v>
      </c>
    </row>
    <row r="4" spans="1:4" ht="30" customHeight="1" x14ac:dyDescent="0.3">
      <c r="A4" s="3" t="s">
        <v>231</v>
      </c>
      <c r="B4" s="3" t="s">
        <v>506</v>
      </c>
      <c r="C4" s="3" t="s">
        <v>233</v>
      </c>
      <c r="D4" s="3" t="s">
        <v>507</v>
      </c>
    </row>
    <row r="5" spans="1:4" x14ac:dyDescent="0.3">
      <c r="A5" s="26" t="s">
        <v>508</v>
      </c>
      <c r="B5" s="27">
        <v>95.65</v>
      </c>
      <c r="C5" s="26" t="s">
        <v>389</v>
      </c>
      <c r="D5" s="28" t="s">
        <v>509</v>
      </c>
    </row>
    <row r="6" spans="1:4" x14ac:dyDescent="0.3">
      <c r="A6" s="26" t="s">
        <v>510</v>
      </c>
      <c r="B6" s="29">
        <f>1440/B5</f>
        <v>15.054887611082069</v>
      </c>
      <c r="C6" s="26" t="s">
        <v>511</v>
      </c>
      <c r="D6" s="28" t="s">
        <v>512</v>
      </c>
    </row>
    <row r="7" spans="1:4" x14ac:dyDescent="0.3">
      <c r="A7" s="26" t="s">
        <v>513</v>
      </c>
      <c r="B7" s="27">
        <v>35.200000000000003</v>
      </c>
      <c r="C7" s="26" t="s">
        <v>389</v>
      </c>
      <c r="D7" s="28" t="s">
        <v>514</v>
      </c>
    </row>
    <row r="8" spans="1:4" x14ac:dyDescent="0.3">
      <c r="A8" s="26" t="s">
        <v>515</v>
      </c>
      <c r="B8" s="27">
        <v>15.6</v>
      </c>
      <c r="C8" s="26" t="s">
        <v>516</v>
      </c>
      <c r="D8" s="28" t="s">
        <v>517</v>
      </c>
    </row>
    <row r="9" spans="1:4" x14ac:dyDescent="0.3">
      <c r="A9" s="26" t="s">
        <v>518</v>
      </c>
      <c r="B9" s="27">
        <v>2.37</v>
      </c>
      <c r="C9" s="26" t="s">
        <v>519</v>
      </c>
      <c r="D9" s="28" t="s">
        <v>520</v>
      </c>
    </row>
    <row r="10" spans="1:4" x14ac:dyDescent="0.3">
      <c r="A10" s="26" t="s">
        <v>521</v>
      </c>
      <c r="B10" s="27">
        <v>7.9</v>
      </c>
      <c r="C10" s="26" t="s">
        <v>389</v>
      </c>
      <c r="D10" s="28" t="s">
        <v>522</v>
      </c>
    </row>
    <row r="11" spans="1:4" x14ac:dyDescent="0.3">
      <c r="A11" s="26" t="s">
        <v>523</v>
      </c>
      <c r="B11" s="27">
        <v>0.71</v>
      </c>
      <c r="C11" s="26" t="s">
        <v>251</v>
      </c>
      <c r="D11" s="28" t="s">
        <v>524</v>
      </c>
    </row>
    <row r="12" spans="1:4" x14ac:dyDescent="0.3">
      <c r="A12" s="26" t="s">
        <v>525</v>
      </c>
      <c r="B12" s="27">
        <v>5.5</v>
      </c>
      <c r="C12" s="26" t="s">
        <v>526</v>
      </c>
      <c r="D12" s="28" t="s">
        <v>527</v>
      </c>
    </row>
    <row r="13" spans="1:4" x14ac:dyDescent="0.3">
      <c r="A13" s="26" t="s">
        <v>528</v>
      </c>
      <c r="B13" s="30">
        <v>550</v>
      </c>
      <c r="C13" s="26" t="s">
        <v>263</v>
      </c>
      <c r="D13" s="28" t="s">
        <v>529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235"/>
  </sheetPr>
  <dimension ref="A1:G43"/>
  <sheetViews>
    <sheetView showGridLines="0" workbookViewId="0">
      <pane ySplit="10" topLeftCell="A11" activePane="bottomLeft" state="frozen"/>
      <selection pane="bottomLeft"/>
    </sheetView>
  </sheetViews>
  <sheetFormatPr baseColWidth="10" defaultColWidth="8.88671875" defaultRowHeight="14.4" x14ac:dyDescent="0.3"/>
  <cols>
    <col min="1" max="1" width="40" customWidth="1"/>
    <col min="2" max="3" width="12" customWidth="1"/>
    <col min="4" max="6" width="13" customWidth="1"/>
    <col min="7" max="7" width="52" customWidth="1"/>
  </cols>
  <sheetData>
    <row r="1" spans="1:7" ht="16.8" x14ac:dyDescent="0.3">
      <c r="A1" s="1" t="s">
        <v>530</v>
      </c>
    </row>
    <row r="2" spans="1:7" x14ac:dyDescent="0.3">
      <c r="A2" s="2" t="s">
        <v>531</v>
      </c>
    </row>
    <row r="4" spans="1:7" x14ac:dyDescent="0.3">
      <c r="A4" s="19" t="s">
        <v>532</v>
      </c>
      <c r="B4" s="31">
        <f>'Supuestos órbita'!$B$5/60</f>
        <v>1.5941666666666667</v>
      </c>
    </row>
    <row r="5" spans="1:7" x14ac:dyDescent="0.3">
      <c r="A5" s="19" t="s">
        <v>533</v>
      </c>
      <c r="B5" s="32">
        <v>0.88</v>
      </c>
    </row>
    <row r="6" spans="1:7" x14ac:dyDescent="0.3">
      <c r="A6" s="19" t="s">
        <v>534</v>
      </c>
      <c r="B6" s="33">
        <v>0.1</v>
      </c>
    </row>
    <row r="7" spans="1:7" x14ac:dyDescent="0.3">
      <c r="A7" s="19" t="s">
        <v>535</v>
      </c>
      <c r="B7" s="32">
        <v>0.6</v>
      </c>
    </row>
    <row r="8" spans="1:7" x14ac:dyDescent="0.3">
      <c r="A8" s="19" t="s">
        <v>536</v>
      </c>
      <c r="B8" s="30">
        <v>10</v>
      </c>
    </row>
    <row r="10" spans="1:7" ht="30" customHeight="1" x14ac:dyDescent="0.3">
      <c r="A10" s="3" t="s">
        <v>537</v>
      </c>
      <c r="B10" s="3" t="s">
        <v>538</v>
      </c>
      <c r="C10" s="3" t="s">
        <v>539</v>
      </c>
      <c r="D10" s="3" t="s">
        <v>540</v>
      </c>
      <c r="E10" s="3" t="s">
        <v>541</v>
      </c>
      <c r="F10" s="3" t="s">
        <v>542</v>
      </c>
      <c r="G10" s="3" t="s">
        <v>543</v>
      </c>
    </row>
    <row r="11" spans="1:7" ht="19.95" customHeight="1" x14ac:dyDescent="0.3">
      <c r="A11" s="26" t="s">
        <v>544</v>
      </c>
      <c r="B11" s="33">
        <v>0.1</v>
      </c>
      <c r="C11" s="33">
        <v>0.2</v>
      </c>
      <c r="D11" s="32">
        <v>1</v>
      </c>
      <c r="E11" s="31">
        <f t="shared" ref="E11:E18" si="0">B11*D11*$B$4</f>
        <v>0.15941666666666668</v>
      </c>
      <c r="F11" s="34">
        <f t="shared" ref="F11:F18" si="1">E11/$B$5/$E$21</f>
        <v>0.11270063274005748</v>
      </c>
      <c r="G11" s="35" t="s">
        <v>545</v>
      </c>
    </row>
    <row r="12" spans="1:7" ht="19.95" customHeight="1" x14ac:dyDescent="0.3">
      <c r="A12" s="26" t="s">
        <v>546</v>
      </c>
      <c r="B12" s="33">
        <v>0.18</v>
      </c>
      <c r="C12" s="33">
        <v>0.4</v>
      </c>
      <c r="D12" s="32">
        <v>1</v>
      </c>
      <c r="E12" s="31">
        <f t="shared" si="0"/>
        <v>0.28694999999999998</v>
      </c>
      <c r="F12" s="34">
        <f t="shared" si="1"/>
        <v>0.20286113893210342</v>
      </c>
      <c r="G12" s="35" t="s">
        <v>547</v>
      </c>
    </row>
    <row r="13" spans="1:7" ht="48" customHeight="1" x14ac:dyDescent="0.3">
      <c r="A13" s="26" t="s">
        <v>548</v>
      </c>
      <c r="B13" s="33">
        <v>2.64</v>
      </c>
      <c r="C13" s="33">
        <v>3.3</v>
      </c>
      <c r="D13" s="36">
        <f>('Supuestos órbita'!$B$8*$B$7/'Supuestos órbita'!$B$6)/'Supuestos órbita'!$B$5</f>
        <v>6.4999999999999997E-3</v>
      </c>
      <c r="E13" s="31">
        <f t="shared" si="0"/>
        <v>2.7355900000000002E-2</v>
      </c>
      <c r="F13" s="34">
        <f t="shared" si="1"/>
        <v>1.9339428578193863E-2</v>
      </c>
      <c r="G13" s="35" t="s">
        <v>549</v>
      </c>
    </row>
    <row r="14" spans="1:7" ht="48" customHeight="1" x14ac:dyDescent="0.3">
      <c r="A14" s="26" t="s">
        <v>550</v>
      </c>
      <c r="B14" s="33">
        <v>0.1</v>
      </c>
      <c r="C14" s="33">
        <v>0.15</v>
      </c>
      <c r="D14" s="32">
        <v>1</v>
      </c>
      <c r="E14" s="31">
        <f t="shared" si="0"/>
        <v>0.15941666666666668</v>
      </c>
      <c r="F14" s="34">
        <f t="shared" si="1"/>
        <v>0.11270063274005748</v>
      </c>
      <c r="G14" s="35" t="s">
        <v>551</v>
      </c>
    </row>
    <row r="15" spans="1:7" ht="19.95" customHeight="1" x14ac:dyDescent="0.3">
      <c r="A15" s="26" t="s">
        <v>552</v>
      </c>
      <c r="B15" s="33">
        <v>0.2</v>
      </c>
      <c r="C15" s="33">
        <v>0.6</v>
      </c>
      <c r="D15" s="32">
        <v>0.5</v>
      </c>
      <c r="E15" s="31">
        <f t="shared" si="0"/>
        <v>0.15941666666666668</v>
      </c>
      <c r="F15" s="34">
        <f t="shared" si="1"/>
        <v>0.11270063274005748</v>
      </c>
      <c r="G15" s="35" t="s">
        <v>553</v>
      </c>
    </row>
    <row r="16" spans="1:7" ht="19.95" customHeight="1" x14ac:dyDescent="0.3">
      <c r="A16" s="26" t="s">
        <v>554</v>
      </c>
      <c r="B16" s="33">
        <v>0.3</v>
      </c>
      <c r="C16" s="33">
        <v>0.85</v>
      </c>
      <c r="D16" s="32">
        <v>1</v>
      </c>
      <c r="E16" s="31">
        <f t="shared" si="0"/>
        <v>0.47825000000000001</v>
      </c>
      <c r="F16" s="34">
        <f t="shared" si="1"/>
        <v>0.33810189822017239</v>
      </c>
      <c r="G16" s="35" t="s">
        <v>555</v>
      </c>
    </row>
    <row r="17" spans="1:7" ht="48" customHeight="1" x14ac:dyDescent="0.3">
      <c r="A17" s="26" t="s">
        <v>556</v>
      </c>
      <c r="B17" s="33">
        <v>1.7</v>
      </c>
      <c r="C17" s="33">
        <v>2.5</v>
      </c>
      <c r="D17" s="36">
        <f>($B$8/('Supuestos órbita'!$B$12*'Supuestos órbita'!$B$6))/'Supuestos órbita'!$B$5</f>
        <v>1.2626262626262627E-3</v>
      </c>
      <c r="E17" s="31">
        <f t="shared" si="0"/>
        <v>3.4218223905723905E-3</v>
      </c>
      <c r="F17" s="34">
        <f t="shared" si="1"/>
        <v>2.4190792381072941E-3</v>
      </c>
      <c r="G17" s="35" t="s">
        <v>557</v>
      </c>
    </row>
    <row r="18" spans="1:7" ht="19.95" customHeight="1" x14ac:dyDescent="0.3">
      <c r="A18" s="26" t="s">
        <v>558</v>
      </c>
      <c r="B18" s="33">
        <v>1</v>
      </c>
      <c r="C18" s="33">
        <v>1</v>
      </c>
      <c r="D18" s="32">
        <v>0</v>
      </c>
      <c r="E18" s="31">
        <f t="shared" si="0"/>
        <v>0</v>
      </c>
      <c r="F18" s="34">
        <f t="shared" si="1"/>
        <v>0</v>
      </c>
      <c r="G18" s="35" t="s">
        <v>559</v>
      </c>
    </row>
    <row r="19" spans="1:7" x14ac:dyDescent="0.3">
      <c r="A19" s="5" t="s">
        <v>560</v>
      </c>
      <c r="E19" s="23">
        <f>SUM(E11:E18)</f>
        <v>1.2742277223905725</v>
      </c>
    </row>
    <row r="20" spans="1:7" ht="26.4" x14ac:dyDescent="0.3">
      <c r="A20" s="19" t="s">
        <v>561</v>
      </c>
      <c r="E20" s="29">
        <f>E19/$B$5-E19+$B$6*$B$4</f>
        <v>0.33317499244719928</v>
      </c>
    </row>
    <row r="21" spans="1:7" x14ac:dyDescent="0.3">
      <c r="A21" s="5" t="s">
        <v>562</v>
      </c>
      <c r="E21" s="23">
        <f>E19+E20</f>
        <v>1.6074027148377716</v>
      </c>
    </row>
    <row r="23" spans="1:7" ht="30" customHeight="1" x14ac:dyDescent="0.3">
      <c r="A23" s="3" t="s">
        <v>563</v>
      </c>
      <c r="B23" s="3"/>
      <c r="C23" s="3"/>
      <c r="D23" s="3"/>
      <c r="E23" s="3" t="s">
        <v>564</v>
      </c>
      <c r="F23" s="3" t="s">
        <v>565</v>
      </c>
      <c r="G23" s="3" t="s">
        <v>566</v>
      </c>
    </row>
    <row r="24" spans="1:7" x14ac:dyDescent="0.3">
      <c r="A24" s="26" t="s">
        <v>567</v>
      </c>
      <c r="E24" s="27">
        <v>1.81</v>
      </c>
      <c r="F24" s="37">
        <f>(E24-$E$21)/E24</f>
        <v>0.11193220174708751</v>
      </c>
      <c r="G24" s="12" t="str">
        <f>IF(F24&gt;=0.1,"Cumple","NO cumple")</f>
        <v>Cumple</v>
      </c>
    </row>
    <row r="25" spans="1:7" x14ac:dyDescent="0.3">
      <c r="A25" s="26" t="s">
        <v>568</v>
      </c>
      <c r="E25" s="27">
        <v>2</v>
      </c>
      <c r="F25" s="37">
        <f>(E25-$E$21)/E25</f>
        <v>0.19629864258111418</v>
      </c>
      <c r="G25" s="12" t="str">
        <f>IF(F25&gt;=0.1,"Cumple","NO cumple")</f>
        <v>Cumple</v>
      </c>
    </row>
    <row r="26" spans="1:7" x14ac:dyDescent="0.3">
      <c r="A26" s="26" t="s">
        <v>569</v>
      </c>
      <c r="E26" s="27">
        <v>2.2000000000000002</v>
      </c>
      <c r="F26" s="37">
        <f>(E26-$E$21)/E26</f>
        <v>0.26936240234646752</v>
      </c>
      <c r="G26" s="12" t="str">
        <f>IF(F26&gt;=0.1,"Cumple","NO cumple")</f>
        <v>Cumple</v>
      </c>
    </row>
    <row r="27" spans="1:7" ht="42" customHeight="1" x14ac:dyDescent="0.3">
      <c r="A27" s="47" t="s">
        <v>570</v>
      </c>
      <c r="B27" s="48"/>
      <c r="C27" s="48"/>
      <c r="D27" s="48"/>
      <c r="E27" s="48"/>
      <c r="F27" s="48"/>
      <c r="G27" s="48"/>
    </row>
    <row r="29" spans="1:7" ht="30" customHeight="1" x14ac:dyDescent="0.3">
      <c r="A29" s="3" t="s">
        <v>571</v>
      </c>
      <c r="B29" s="3" t="s">
        <v>506</v>
      </c>
      <c r="C29" s="3" t="s">
        <v>233</v>
      </c>
      <c r="D29" s="3"/>
      <c r="E29" s="3"/>
      <c r="F29" s="3"/>
      <c r="G29" s="3" t="s">
        <v>572</v>
      </c>
    </row>
    <row r="30" spans="1:7" x14ac:dyDescent="0.3">
      <c r="A30" s="26" t="s">
        <v>573</v>
      </c>
      <c r="B30" s="30">
        <v>2</v>
      </c>
      <c r="C30" s="19" t="s">
        <v>251</v>
      </c>
      <c r="G30" s="2" t="s">
        <v>574</v>
      </c>
    </row>
    <row r="31" spans="1:7" x14ac:dyDescent="0.3">
      <c r="A31" s="26" t="s">
        <v>575</v>
      </c>
      <c r="B31" s="38">
        <v>3.6</v>
      </c>
      <c r="C31" s="19" t="s">
        <v>576</v>
      </c>
      <c r="G31" s="2" t="s">
        <v>574</v>
      </c>
    </row>
    <row r="32" spans="1:7" x14ac:dyDescent="0.3">
      <c r="A32" s="26" t="s">
        <v>577</v>
      </c>
      <c r="B32" s="38">
        <v>2.6</v>
      </c>
      <c r="C32" s="19" t="s">
        <v>578</v>
      </c>
      <c r="G32" s="2" t="s">
        <v>579</v>
      </c>
    </row>
    <row r="33" spans="1:7" x14ac:dyDescent="0.3">
      <c r="A33" s="26" t="s">
        <v>580</v>
      </c>
      <c r="B33" s="39">
        <f>B30*B31*B32</f>
        <v>18.720000000000002</v>
      </c>
      <c r="C33" s="19" t="s">
        <v>338</v>
      </c>
      <c r="G33" s="2"/>
    </row>
    <row r="34" spans="1:7" x14ac:dyDescent="0.3">
      <c r="A34" s="26" t="s">
        <v>581</v>
      </c>
      <c r="B34" s="29">
        <f>($E$21/$B$4)*'Supuestos órbita'!$B$7/60</f>
        <v>0.59153764309764312</v>
      </c>
      <c r="C34" s="19" t="s">
        <v>338</v>
      </c>
      <c r="G34" s="2"/>
    </row>
    <row r="35" spans="1:7" x14ac:dyDescent="0.3">
      <c r="A35" s="26" t="s">
        <v>582</v>
      </c>
      <c r="B35" s="40">
        <f>B34/B33</f>
        <v>3.159923307145529E-2</v>
      </c>
      <c r="C35" s="19" t="s">
        <v>251</v>
      </c>
      <c r="G35" s="2"/>
    </row>
    <row r="36" spans="1:7" x14ac:dyDescent="0.3">
      <c r="A36" s="26" t="s">
        <v>583</v>
      </c>
      <c r="B36" s="29">
        <f>$E$21+($B$13*'Supuestos órbita'!$B$10/60+$B$17*$B$8/60+$B$18*0.2*'Supuestos órbita'!$B$7/60)/$B$5</f>
        <v>2.4577057451408018</v>
      </c>
      <c r="C36" s="19" t="s">
        <v>338</v>
      </c>
      <c r="G36" s="2" t="s">
        <v>584</v>
      </c>
    </row>
    <row r="37" spans="1:7" x14ac:dyDescent="0.3">
      <c r="A37" s="26" t="s">
        <v>585</v>
      </c>
      <c r="B37" s="29">
        <f>B36-$E$24</f>
        <v>0.6477057451408017</v>
      </c>
      <c r="C37" s="19" t="s">
        <v>338</v>
      </c>
      <c r="G37" s="2" t="s">
        <v>586</v>
      </c>
    </row>
    <row r="38" spans="1:7" x14ac:dyDescent="0.3">
      <c r="A38" s="26" t="s">
        <v>587</v>
      </c>
      <c r="B38" s="40">
        <f>(B34+B36-$E$21)/B33</f>
        <v>7.7021403493625684E-2</v>
      </c>
      <c r="C38" s="19" t="s">
        <v>251</v>
      </c>
      <c r="G38" s="2"/>
    </row>
    <row r="39" spans="1:7" x14ac:dyDescent="0.3">
      <c r="A39" s="26" t="s">
        <v>588</v>
      </c>
      <c r="B39" s="29">
        <f>($B$11+$B$12+$B$14+$B$15*$D$15)/$B$5+$B$6</f>
        <v>0.64545454545454539</v>
      </c>
      <c r="C39" s="19" t="s">
        <v>333</v>
      </c>
      <c r="G39" s="2" t="s">
        <v>589</v>
      </c>
    </row>
    <row r="40" spans="1:7" x14ac:dyDescent="0.3">
      <c r="A40" s="26" t="s">
        <v>590</v>
      </c>
      <c r="B40" s="29">
        <f>B39*$B$4</f>
        <v>1.0289621212121212</v>
      </c>
      <c r="C40" s="19" t="s">
        <v>338</v>
      </c>
      <c r="G40" s="2" t="s">
        <v>591</v>
      </c>
    </row>
    <row r="41" spans="1:7" x14ac:dyDescent="0.3">
      <c r="A41" s="26" t="s">
        <v>592</v>
      </c>
      <c r="B41" s="22">
        <f>0.8*B33/B39</f>
        <v>23.202253521126767</v>
      </c>
      <c r="C41" s="19" t="s">
        <v>593</v>
      </c>
      <c r="G41" s="2"/>
    </row>
    <row r="43" spans="1:7" ht="42" customHeight="1" x14ac:dyDescent="0.3">
      <c r="A43" s="47" t="s">
        <v>594</v>
      </c>
      <c r="B43" s="48"/>
      <c r="C43" s="48"/>
      <c r="D43" s="48"/>
      <c r="E43" s="48"/>
      <c r="F43" s="48"/>
      <c r="G43" s="48"/>
    </row>
  </sheetData>
  <mergeCells count="2">
    <mergeCell ref="A27:G27"/>
    <mergeCell ref="A43:G43"/>
  </mergeCells>
  <conditionalFormatting sqref="F24:F26">
    <cfRule type="cellIs" dxfId="17" priority="3" operator="lessThan">
      <formula>0.1</formula>
    </cfRule>
    <cfRule type="cellIs" dxfId="16" priority="4" operator="greaterThanOrEqual">
      <formula>0.1</formula>
    </cfRule>
  </conditionalFormatting>
  <conditionalFormatting sqref="G24:G26">
    <cfRule type="expression" dxfId="15" priority="1">
      <formula>LEFT(G24,2)="NO"</formula>
    </cfRule>
    <cfRule type="expression" dxfId="14" priority="2">
      <formula>LEFT(G24,2)&lt;&gt;"NO"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548235"/>
  </sheetPr>
  <dimension ref="A1:E40"/>
  <sheetViews>
    <sheetView showGridLines="0" workbookViewId="0"/>
  </sheetViews>
  <sheetFormatPr baseColWidth="10" defaultColWidth="8.88671875" defaultRowHeight="14.4" x14ac:dyDescent="0.3"/>
  <cols>
    <col min="1" max="1" width="46" customWidth="1"/>
    <col min="2" max="2" width="14" customWidth="1"/>
    <col min="3" max="3" width="12" customWidth="1"/>
    <col min="4" max="4" width="14" customWidth="1"/>
    <col min="5" max="5" width="52" customWidth="1"/>
  </cols>
  <sheetData>
    <row r="1" spans="1:5" ht="16.8" x14ac:dyDescent="0.3">
      <c r="A1" s="1" t="s">
        <v>595</v>
      </c>
    </row>
    <row r="2" spans="1:5" x14ac:dyDescent="0.3">
      <c r="A2" s="2" t="s">
        <v>596</v>
      </c>
    </row>
    <row r="4" spans="1:5" ht="30" customHeight="1" x14ac:dyDescent="0.3">
      <c r="A4" s="3" t="s">
        <v>597</v>
      </c>
      <c r="B4" s="3" t="s">
        <v>506</v>
      </c>
      <c r="C4" s="3" t="s">
        <v>233</v>
      </c>
      <c r="D4" s="3"/>
      <c r="E4" s="3" t="s">
        <v>572</v>
      </c>
    </row>
    <row r="5" spans="1:5" x14ac:dyDescent="0.3">
      <c r="A5" s="26" t="s">
        <v>598</v>
      </c>
      <c r="B5" s="30">
        <v>2592</v>
      </c>
      <c r="C5" s="19" t="s">
        <v>599</v>
      </c>
      <c r="E5" s="2" t="s">
        <v>600</v>
      </c>
    </row>
    <row r="6" spans="1:5" x14ac:dyDescent="0.3">
      <c r="A6" s="26" t="s">
        <v>601</v>
      </c>
      <c r="B6" s="30">
        <v>1944</v>
      </c>
      <c r="C6" s="19" t="s">
        <v>599</v>
      </c>
      <c r="E6" s="2"/>
    </row>
    <row r="7" spans="1:5" x14ac:dyDescent="0.3">
      <c r="A7" s="26" t="s">
        <v>602</v>
      </c>
      <c r="B7" s="30">
        <v>10</v>
      </c>
      <c r="C7" s="19" t="s">
        <v>603</v>
      </c>
      <c r="E7" s="2"/>
    </row>
    <row r="8" spans="1:5" x14ac:dyDescent="0.3">
      <c r="A8" s="26" t="s">
        <v>604</v>
      </c>
      <c r="B8" s="30">
        <v>4</v>
      </c>
      <c r="C8" s="19" t="s">
        <v>251</v>
      </c>
      <c r="E8" s="2" t="s">
        <v>605</v>
      </c>
    </row>
    <row r="9" spans="1:5" x14ac:dyDescent="0.3">
      <c r="A9" s="26" t="s">
        <v>606</v>
      </c>
      <c r="B9" s="30">
        <v>40</v>
      </c>
      <c r="C9" s="19" t="s">
        <v>245</v>
      </c>
      <c r="E9" s="2" t="s">
        <v>242</v>
      </c>
    </row>
    <row r="10" spans="1:5" x14ac:dyDescent="0.3">
      <c r="A10" s="26" t="s">
        <v>607</v>
      </c>
      <c r="B10" s="30">
        <v>470</v>
      </c>
      <c r="C10" s="19" t="s">
        <v>263</v>
      </c>
      <c r="E10" s="2" t="s">
        <v>608</v>
      </c>
    </row>
    <row r="11" spans="1:5" x14ac:dyDescent="0.3">
      <c r="A11" s="26" t="s">
        <v>609</v>
      </c>
      <c r="B11" s="29">
        <f>B5*B6*B7/8/1000000</f>
        <v>6.2985600000000002</v>
      </c>
      <c r="C11" s="19" t="s">
        <v>278</v>
      </c>
      <c r="E11" s="2"/>
    </row>
    <row r="12" spans="1:5" x14ac:dyDescent="0.3">
      <c r="A12" s="26" t="s">
        <v>610</v>
      </c>
      <c r="B12" s="29">
        <f>(B6/B8)*B9/1000</f>
        <v>19.440000000000001</v>
      </c>
      <c r="C12" s="19" t="s">
        <v>263</v>
      </c>
      <c r="E12" s="2" t="s">
        <v>611</v>
      </c>
    </row>
    <row r="13" spans="1:5" x14ac:dyDescent="0.3">
      <c r="A13" s="26" t="s">
        <v>612</v>
      </c>
      <c r="B13" s="29">
        <f>CEILING((B10+B6*B9/1000)/B12,1)</f>
        <v>29</v>
      </c>
      <c r="C13" s="19" t="s">
        <v>613</v>
      </c>
      <c r="E13" s="2"/>
    </row>
    <row r="14" spans="1:5" x14ac:dyDescent="0.3">
      <c r="A14" s="26" t="s">
        <v>614</v>
      </c>
      <c r="B14" s="29">
        <f>B13*B11</f>
        <v>182.65824000000001</v>
      </c>
      <c r="C14" s="19" t="s">
        <v>278</v>
      </c>
      <c r="E14" s="2"/>
    </row>
    <row r="15" spans="1:5" x14ac:dyDescent="0.3">
      <c r="A15" s="26" t="s">
        <v>615</v>
      </c>
      <c r="B15" s="38">
        <v>2</v>
      </c>
      <c r="C15" s="19" t="s">
        <v>616</v>
      </c>
      <c r="E15" s="2" t="s">
        <v>617</v>
      </c>
    </row>
    <row r="16" spans="1:5" x14ac:dyDescent="0.3">
      <c r="A16" s="26" t="s">
        <v>618</v>
      </c>
      <c r="B16" s="30">
        <v>50</v>
      </c>
      <c r="C16" s="19" t="s">
        <v>263</v>
      </c>
      <c r="E16" s="2" t="s">
        <v>122</v>
      </c>
    </row>
    <row r="17" spans="1:5" x14ac:dyDescent="0.3">
      <c r="A17" s="26" t="s">
        <v>619</v>
      </c>
      <c r="B17" s="30">
        <v>16</v>
      </c>
      <c r="C17" s="19" t="s">
        <v>620</v>
      </c>
      <c r="E17" s="2" t="s">
        <v>621</v>
      </c>
    </row>
    <row r="19" spans="1:5" ht="30" customHeight="1" x14ac:dyDescent="0.3">
      <c r="A19" s="3" t="s">
        <v>622</v>
      </c>
      <c r="B19" s="3" t="s">
        <v>506</v>
      </c>
      <c r="C19" s="3" t="s">
        <v>233</v>
      </c>
      <c r="D19" s="3"/>
      <c r="E19" s="3" t="s">
        <v>572</v>
      </c>
    </row>
    <row r="20" spans="1:5" x14ac:dyDescent="0.3">
      <c r="A20" s="26" t="s">
        <v>623</v>
      </c>
      <c r="B20" s="32">
        <v>0.75</v>
      </c>
      <c r="C20" s="19" t="s">
        <v>251</v>
      </c>
      <c r="E20" s="2"/>
    </row>
    <row r="21" spans="1:5" x14ac:dyDescent="0.3">
      <c r="A21" s="26" t="s">
        <v>624</v>
      </c>
      <c r="B21" s="32">
        <v>0.8</v>
      </c>
      <c r="C21" s="19" t="s">
        <v>251</v>
      </c>
      <c r="E21" s="2"/>
    </row>
    <row r="22" spans="1:5" x14ac:dyDescent="0.3">
      <c r="A22" s="26" t="s">
        <v>625</v>
      </c>
      <c r="B22" s="29">
        <f>9600*'Supuestos órbita'!$B$8*60*B20*B21/8/1000000</f>
        <v>0.67391999999999996</v>
      </c>
      <c r="C22" s="19" t="s">
        <v>626</v>
      </c>
      <c r="E22" s="2"/>
    </row>
    <row r="23" spans="1:5" x14ac:dyDescent="0.3">
      <c r="A23" s="26" t="s">
        <v>627</v>
      </c>
      <c r="B23" s="29">
        <f>19200*'Supuestos órbita'!$B$8*60*B20*B21/8/1000000</f>
        <v>1.3478399999999999</v>
      </c>
      <c r="C23" s="19" t="s">
        <v>626</v>
      </c>
      <c r="E23" s="2"/>
    </row>
    <row r="24" spans="1:5" x14ac:dyDescent="0.3">
      <c r="A24" s="26" t="s">
        <v>628</v>
      </c>
      <c r="B24" s="23">
        <f>'Supuestos órbita'!$B$11*B23+(1-'Supuestos órbita'!$B$11)*B22</f>
        <v>1.1524032</v>
      </c>
      <c r="C24" s="19" t="s">
        <v>626</v>
      </c>
      <c r="E24" s="2" t="s">
        <v>629</v>
      </c>
    </row>
    <row r="26" spans="1:5" ht="30" customHeight="1" x14ac:dyDescent="0.3">
      <c r="A26" s="3" t="s">
        <v>630</v>
      </c>
      <c r="B26" s="3" t="s">
        <v>631</v>
      </c>
      <c r="C26" s="3" t="s">
        <v>233</v>
      </c>
      <c r="D26" s="3" t="s">
        <v>632</v>
      </c>
      <c r="E26" s="3" t="s">
        <v>572</v>
      </c>
    </row>
    <row r="27" spans="1:5" x14ac:dyDescent="0.3">
      <c r="A27" s="26" t="s">
        <v>633</v>
      </c>
      <c r="B27" s="29">
        <f>B14/(B17^2)/B15</f>
        <v>0.35675437500000001</v>
      </c>
      <c r="C27" s="19" t="s">
        <v>278</v>
      </c>
      <c r="D27" s="31">
        <f>B27/'Supuestos órbita'!$B$12</f>
        <v>6.4864431818181814E-2</v>
      </c>
      <c r="E27" s="2" t="s">
        <v>634</v>
      </c>
    </row>
    <row r="28" spans="1:5" x14ac:dyDescent="0.3">
      <c r="A28" s="26" t="s">
        <v>635</v>
      </c>
      <c r="B28" s="29">
        <f>(B16*1000/B9)^2*B8*B7/8/1000000/B15</f>
        <v>3.90625</v>
      </c>
      <c r="C28" s="19" t="s">
        <v>278</v>
      </c>
      <c r="D28" s="31">
        <f>B28/'Supuestos órbita'!$B$12</f>
        <v>0.71022727272727271</v>
      </c>
      <c r="E28" s="2" t="s">
        <v>634</v>
      </c>
    </row>
    <row r="29" spans="1:5" x14ac:dyDescent="0.3">
      <c r="A29" s="26" t="s">
        <v>636</v>
      </c>
      <c r="B29" s="29">
        <f>64*1440/1000000</f>
        <v>9.2160000000000006E-2</v>
      </c>
      <c r="C29" s="19" t="s">
        <v>626</v>
      </c>
      <c r="D29" s="31">
        <f>B29</f>
        <v>9.2160000000000006E-2</v>
      </c>
      <c r="E29" s="2" t="s">
        <v>637</v>
      </c>
    </row>
    <row r="30" spans="1:5" x14ac:dyDescent="0.3">
      <c r="A30" s="5" t="s">
        <v>638</v>
      </c>
      <c r="D30" s="23">
        <f>SUM(D27:D29)</f>
        <v>0.86725170454545453</v>
      </c>
    </row>
    <row r="31" spans="1:5" x14ac:dyDescent="0.3">
      <c r="A31" s="5" t="s">
        <v>639</v>
      </c>
      <c r="D31" s="41">
        <f>(B24-D30)/B24</f>
        <v>0.24744073554685153</v>
      </c>
      <c r="E31" s="12" t="str">
        <f>IF(D31&gt;=0,"Cumple RNF-03","NO cumple RNF-03: bajar la ROI o subir la compresión")</f>
        <v>Cumple RNF-03</v>
      </c>
    </row>
    <row r="33" spans="1:5" ht="30" customHeight="1" x14ac:dyDescent="0.3">
      <c r="A33" s="3" t="s">
        <v>640</v>
      </c>
      <c r="B33" s="3" t="s">
        <v>506</v>
      </c>
      <c r="C33" s="3" t="s">
        <v>233</v>
      </c>
      <c r="D33" s="3"/>
      <c r="E33" s="3" t="s">
        <v>572</v>
      </c>
    </row>
    <row r="34" spans="1:5" x14ac:dyDescent="0.3">
      <c r="A34" s="26" t="s">
        <v>641</v>
      </c>
      <c r="B34" s="30">
        <v>10</v>
      </c>
      <c r="C34" s="19" t="s">
        <v>251</v>
      </c>
      <c r="E34" s="2"/>
    </row>
    <row r="35" spans="1:5" x14ac:dyDescent="0.3">
      <c r="A35" s="26" t="s">
        <v>642</v>
      </c>
      <c r="B35" s="29">
        <f>B34*B14/1000</f>
        <v>1.8265823999999999</v>
      </c>
      <c r="C35" s="19" t="s">
        <v>283</v>
      </c>
      <c r="E35" s="2"/>
    </row>
    <row r="36" spans="1:5" x14ac:dyDescent="0.3">
      <c r="A36" s="26" t="s">
        <v>643</v>
      </c>
      <c r="B36" s="29">
        <f>B35/0.5</f>
        <v>3.6531647999999999</v>
      </c>
      <c r="C36" s="19" t="s">
        <v>283</v>
      </c>
      <c r="E36" s="2" t="s">
        <v>280</v>
      </c>
    </row>
    <row r="37" spans="1:5" x14ac:dyDescent="0.3">
      <c r="A37" s="26" t="s">
        <v>644</v>
      </c>
      <c r="B37" s="30">
        <v>8</v>
      </c>
      <c r="C37" s="19" t="s">
        <v>283</v>
      </c>
      <c r="E37" s="2"/>
    </row>
    <row r="38" spans="1:5" x14ac:dyDescent="0.3">
      <c r="A38" s="26" t="s">
        <v>645</v>
      </c>
      <c r="B38" s="39">
        <f>2*B5*B6*2/1000000</f>
        <v>20.155391999999999</v>
      </c>
      <c r="C38" s="19" t="s">
        <v>278</v>
      </c>
      <c r="E38" s="2"/>
    </row>
    <row r="39" spans="1:5" x14ac:dyDescent="0.3">
      <c r="A39" s="26" t="s">
        <v>646</v>
      </c>
      <c r="B39" s="18">
        <f>B38/0.5</f>
        <v>40.310783999999998</v>
      </c>
      <c r="C39" s="19" t="s">
        <v>278</v>
      </c>
      <c r="E39" s="2" t="s">
        <v>274</v>
      </c>
    </row>
    <row r="40" spans="1:5" x14ac:dyDescent="0.3">
      <c r="A40" s="26" t="s">
        <v>647</v>
      </c>
      <c r="B40" s="30">
        <v>64</v>
      </c>
      <c r="C40" s="19" t="s">
        <v>278</v>
      </c>
      <c r="E40" s="2"/>
    </row>
  </sheetData>
  <conditionalFormatting sqref="D31">
    <cfRule type="cellIs" dxfId="13" priority="1" operator="lessThan">
      <formula>0</formula>
    </cfRule>
    <cfRule type="cellIs" dxfId="12" priority="2" operator="greaterThanOrEqual">
      <formula>0</formula>
    </cfRule>
  </conditionalFormatting>
  <conditionalFormatting sqref="E31">
    <cfRule type="expression" dxfId="11" priority="3">
      <formula>LEFT(E31,2)="NO"</formula>
    </cfRule>
    <cfRule type="expression" dxfId="10" priority="4">
      <formula>LEFT(E31,2)&lt;&gt;"NO"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548235"/>
  </sheetPr>
  <dimension ref="A1:G13"/>
  <sheetViews>
    <sheetView showGridLines="0" workbookViewId="0"/>
  </sheetViews>
  <sheetFormatPr baseColWidth="10" defaultColWidth="8.88671875" defaultRowHeight="14.4" x14ac:dyDescent="0.3"/>
  <cols>
    <col min="1" max="1" width="40" customWidth="1"/>
    <col min="2" max="3" width="13" customWidth="1"/>
    <col min="4" max="5" width="10" customWidth="1"/>
    <col min="6" max="6" width="18" customWidth="1"/>
    <col min="7" max="7" width="50" customWidth="1"/>
  </cols>
  <sheetData>
    <row r="1" spans="1:7" ht="16.8" x14ac:dyDescent="0.3">
      <c r="A1" s="1" t="s">
        <v>648</v>
      </c>
    </row>
    <row r="2" spans="1:7" x14ac:dyDescent="0.3">
      <c r="A2" s="2" t="s">
        <v>649</v>
      </c>
    </row>
    <row r="4" spans="1:7" ht="30" customHeight="1" x14ac:dyDescent="0.3">
      <c r="A4" s="3" t="s">
        <v>650</v>
      </c>
      <c r="B4" s="3" t="s">
        <v>651</v>
      </c>
      <c r="C4" s="3" t="s">
        <v>652</v>
      </c>
      <c r="D4" s="3" t="s">
        <v>233</v>
      </c>
      <c r="E4" s="3" t="s">
        <v>653</v>
      </c>
      <c r="F4" s="3" t="s">
        <v>235</v>
      </c>
      <c r="G4" s="3" t="s">
        <v>654</v>
      </c>
    </row>
    <row r="5" spans="1:7" ht="42" customHeight="1" x14ac:dyDescent="0.3">
      <c r="A5" s="26" t="s">
        <v>655</v>
      </c>
      <c r="B5" s="30">
        <v>150</v>
      </c>
      <c r="C5" s="30">
        <v>786</v>
      </c>
      <c r="D5" s="19" t="s">
        <v>656</v>
      </c>
      <c r="E5" s="42">
        <f t="shared" ref="E5:E11" si="0">B5/C5</f>
        <v>0.19083969465648856</v>
      </c>
      <c r="F5" s="12" t="str">
        <f t="shared" ref="F5:F11" si="1">IF(E5&lt;=0.5,"Cumple (≤ 50 %)","NO cumple")</f>
        <v>Cumple (≤ 50 %)</v>
      </c>
      <c r="G5" s="11" t="s">
        <v>657</v>
      </c>
    </row>
    <row r="6" spans="1:7" ht="18" customHeight="1" x14ac:dyDescent="0.3">
      <c r="A6" s="26" t="s">
        <v>658</v>
      </c>
      <c r="B6" s="30">
        <v>300</v>
      </c>
      <c r="C6" s="30">
        <v>2048</v>
      </c>
      <c r="D6" s="19" t="s">
        <v>656</v>
      </c>
      <c r="E6" s="42">
        <f t="shared" si="0"/>
        <v>0.146484375</v>
      </c>
      <c r="F6" s="12" t="str">
        <f t="shared" si="1"/>
        <v>Cumple (≤ 50 %)</v>
      </c>
      <c r="G6" s="11" t="s">
        <v>659</v>
      </c>
    </row>
    <row r="7" spans="1:7" ht="42" customHeight="1" x14ac:dyDescent="0.3">
      <c r="A7" s="26" t="s">
        <v>660</v>
      </c>
      <c r="B7" s="30">
        <v>20</v>
      </c>
      <c r="C7" s="30">
        <v>100</v>
      </c>
      <c r="D7" s="19" t="s">
        <v>661</v>
      </c>
      <c r="E7" s="42">
        <f t="shared" si="0"/>
        <v>0.2</v>
      </c>
      <c r="F7" s="12" t="str">
        <f t="shared" si="1"/>
        <v>Cumple (≤ 50 %)</v>
      </c>
      <c r="G7" s="11" t="s">
        <v>662</v>
      </c>
    </row>
    <row r="8" spans="1:7" ht="42" customHeight="1" x14ac:dyDescent="0.3">
      <c r="A8" s="26" t="s">
        <v>663</v>
      </c>
      <c r="B8" s="39">
        <f>64*1440*183/1000000+2*0.3</f>
        <v>17.46528</v>
      </c>
      <c r="C8" s="30">
        <v>64</v>
      </c>
      <c r="D8" s="19" t="s">
        <v>278</v>
      </c>
      <c r="E8" s="42">
        <f t="shared" si="0"/>
        <v>0.272895</v>
      </c>
      <c r="F8" s="12" t="str">
        <f t="shared" si="1"/>
        <v>Cumple (≤ 50 %)</v>
      </c>
      <c r="G8" s="11" t="s">
        <v>664</v>
      </c>
    </row>
    <row r="9" spans="1:7" ht="18" customHeight="1" x14ac:dyDescent="0.3">
      <c r="A9" s="26" t="s">
        <v>665</v>
      </c>
      <c r="B9" s="39">
        <f>'Presup. Datos'!B38</f>
        <v>20.155391999999999</v>
      </c>
      <c r="C9" s="39">
        <f>'Presup. Datos'!B40</f>
        <v>64</v>
      </c>
      <c r="D9" s="19" t="s">
        <v>278</v>
      </c>
      <c r="E9" s="42">
        <f t="shared" si="0"/>
        <v>0.31492799999999999</v>
      </c>
      <c r="F9" s="12" t="str">
        <f t="shared" si="1"/>
        <v>Cumple (≤ 50 %)</v>
      </c>
      <c r="G9" s="11" t="s">
        <v>666</v>
      </c>
    </row>
    <row r="10" spans="1:7" ht="18" customHeight="1" x14ac:dyDescent="0.3">
      <c r="A10" s="26" t="s">
        <v>667</v>
      </c>
      <c r="B10" s="39">
        <f>'Presup. Datos'!B35</f>
        <v>1.8265823999999999</v>
      </c>
      <c r="C10" s="39">
        <f>'Presup. Datos'!B37</f>
        <v>8</v>
      </c>
      <c r="D10" s="19" t="s">
        <v>283</v>
      </c>
      <c r="E10" s="42">
        <f t="shared" si="0"/>
        <v>0.22832279999999999</v>
      </c>
      <c r="F10" s="12" t="str">
        <f t="shared" si="1"/>
        <v>Cumple (≤ 50 %)</v>
      </c>
      <c r="G10" s="11" t="s">
        <v>668</v>
      </c>
    </row>
    <row r="11" spans="1:7" ht="42" customHeight="1" x14ac:dyDescent="0.3">
      <c r="A11" s="26" t="s">
        <v>669</v>
      </c>
      <c r="B11" s="38">
        <v>19.2</v>
      </c>
      <c r="C11" s="30">
        <v>450</v>
      </c>
      <c r="D11" s="19" t="s">
        <v>295</v>
      </c>
      <c r="E11" s="42">
        <f t="shared" si="0"/>
        <v>4.2666666666666665E-2</v>
      </c>
      <c r="F11" s="12" t="str">
        <f t="shared" si="1"/>
        <v>Cumple (≤ 50 %)</v>
      </c>
      <c r="G11" s="11" t="s">
        <v>670</v>
      </c>
    </row>
    <row r="13" spans="1:7" ht="42" customHeight="1" x14ac:dyDescent="0.3">
      <c r="A13" s="47" t="s">
        <v>671</v>
      </c>
      <c r="B13" s="48"/>
      <c r="C13" s="48"/>
      <c r="D13" s="48"/>
      <c r="E13" s="48"/>
      <c r="F13" s="48"/>
      <c r="G13" s="48"/>
    </row>
  </sheetData>
  <mergeCells count="1">
    <mergeCell ref="A13:G13"/>
  </mergeCells>
  <conditionalFormatting sqref="F5:F11">
    <cfRule type="expression" dxfId="9" priority="1">
      <formula>LEFT(F5,2)="NO"</formula>
    </cfRule>
    <cfRule type="expression" dxfId="8" priority="2">
      <formula>LEFT(F5,2)&lt;&gt;"NO"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548235"/>
  </sheetPr>
  <dimension ref="A1:G29"/>
  <sheetViews>
    <sheetView showGridLines="0" workbookViewId="0"/>
  </sheetViews>
  <sheetFormatPr baseColWidth="10" defaultColWidth="8.88671875" defaultRowHeight="14.4" x14ac:dyDescent="0.3"/>
  <cols>
    <col min="1" max="1" width="40" customWidth="1"/>
    <col min="2" max="4" width="13" customWidth="1"/>
    <col min="5" max="7" width="15" customWidth="1"/>
  </cols>
  <sheetData>
    <row r="1" spans="1:7" ht="16.8" x14ac:dyDescent="0.3">
      <c r="A1" s="1" t="s">
        <v>672</v>
      </c>
    </row>
    <row r="2" spans="1:7" x14ac:dyDescent="0.3">
      <c r="A2" s="2" t="s">
        <v>673</v>
      </c>
    </row>
    <row r="4" spans="1:7" ht="30" customHeight="1" x14ac:dyDescent="0.3">
      <c r="A4" s="3" t="s">
        <v>674</v>
      </c>
      <c r="B4" s="3" t="s">
        <v>506</v>
      </c>
      <c r="C4" s="3" t="s">
        <v>233</v>
      </c>
      <c r="D4" s="3"/>
      <c r="E4" s="3"/>
      <c r="F4" s="3"/>
      <c r="G4" s="3"/>
    </row>
    <row r="5" spans="1:7" x14ac:dyDescent="0.3">
      <c r="A5" s="26" t="s">
        <v>299</v>
      </c>
      <c r="B5" s="38">
        <v>436</v>
      </c>
      <c r="C5" s="19" t="s">
        <v>301</v>
      </c>
    </row>
    <row r="6" spans="1:7" x14ac:dyDescent="0.3">
      <c r="A6" s="26" t="s">
        <v>675</v>
      </c>
      <c r="B6" s="38">
        <v>0</v>
      </c>
      <c r="C6" s="19" t="s">
        <v>676</v>
      </c>
    </row>
    <row r="7" spans="1:7" x14ac:dyDescent="0.3">
      <c r="A7" s="26" t="s">
        <v>677</v>
      </c>
      <c r="B7" s="38">
        <v>0</v>
      </c>
      <c r="C7" s="19" t="s">
        <v>678</v>
      </c>
    </row>
    <row r="8" spans="1:7" x14ac:dyDescent="0.3">
      <c r="A8" s="26" t="s">
        <v>679</v>
      </c>
      <c r="B8" s="38">
        <v>1</v>
      </c>
      <c r="C8" s="19" t="s">
        <v>680</v>
      </c>
    </row>
    <row r="9" spans="1:7" x14ac:dyDescent="0.3">
      <c r="A9" s="26" t="s">
        <v>681</v>
      </c>
      <c r="B9" s="38">
        <v>3</v>
      </c>
      <c r="C9" s="19" t="s">
        <v>680</v>
      </c>
    </row>
    <row r="10" spans="1:7" x14ac:dyDescent="0.3">
      <c r="A10" s="26" t="s">
        <v>682</v>
      </c>
      <c r="B10" s="38">
        <v>2</v>
      </c>
      <c r="C10" s="19" t="s">
        <v>680</v>
      </c>
    </row>
    <row r="11" spans="1:7" x14ac:dyDescent="0.3">
      <c r="A11" s="26" t="s">
        <v>683</v>
      </c>
      <c r="B11" s="38">
        <v>0.5</v>
      </c>
      <c r="C11" s="19" t="s">
        <v>680</v>
      </c>
    </row>
    <row r="12" spans="1:7" x14ac:dyDescent="0.3">
      <c r="A12" s="26" t="s">
        <v>684</v>
      </c>
      <c r="B12" s="38">
        <v>14</v>
      </c>
      <c r="C12" s="19" t="s">
        <v>685</v>
      </c>
    </row>
    <row r="13" spans="1:7" x14ac:dyDescent="0.3">
      <c r="A13" s="26" t="s">
        <v>686</v>
      </c>
      <c r="B13" s="38">
        <v>1000</v>
      </c>
      <c r="C13" s="19" t="s">
        <v>687</v>
      </c>
    </row>
    <row r="14" spans="1:7" x14ac:dyDescent="0.3">
      <c r="A14" s="26" t="s">
        <v>688</v>
      </c>
      <c r="B14" s="38">
        <v>10</v>
      </c>
      <c r="C14" s="19" t="s">
        <v>680</v>
      </c>
    </row>
    <row r="15" spans="1:7" x14ac:dyDescent="0.3">
      <c r="A15" s="26" t="s">
        <v>689</v>
      </c>
      <c r="B15" s="38">
        <v>-228.6</v>
      </c>
      <c r="C15" s="19" t="s">
        <v>690</v>
      </c>
    </row>
    <row r="16" spans="1:7" x14ac:dyDescent="0.3">
      <c r="A16" s="26" t="s">
        <v>691</v>
      </c>
      <c r="B16" s="38">
        <v>50</v>
      </c>
      <c r="C16" s="19" t="s">
        <v>333</v>
      </c>
    </row>
    <row r="17" spans="1:7" ht="26.4" x14ac:dyDescent="0.3">
      <c r="A17" s="26" t="s">
        <v>692</v>
      </c>
      <c r="B17" s="38">
        <v>-122</v>
      </c>
      <c r="C17" s="19" t="s">
        <v>693</v>
      </c>
    </row>
    <row r="18" spans="1:7" x14ac:dyDescent="0.3">
      <c r="A18" s="5" t="s">
        <v>694</v>
      </c>
      <c r="B18" s="43">
        <f>B12-10*LOG10(B13)</f>
        <v>-16</v>
      </c>
      <c r="C18" s="19" t="s">
        <v>695</v>
      </c>
    </row>
    <row r="20" spans="1:7" ht="30" customHeight="1" x14ac:dyDescent="0.3">
      <c r="A20" s="3" t="s">
        <v>696</v>
      </c>
      <c r="B20" s="3" t="s">
        <v>697</v>
      </c>
      <c r="C20" s="3" t="s">
        <v>698</v>
      </c>
      <c r="D20" s="3" t="s">
        <v>699</v>
      </c>
      <c r="E20" s="3" t="s">
        <v>700</v>
      </c>
      <c r="F20" s="3" t="s">
        <v>701</v>
      </c>
      <c r="G20" s="3" t="s">
        <v>702</v>
      </c>
    </row>
    <row r="21" spans="1:7" x14ac:dyDescent="0.3">
      <c r="A21" s="26" t="s">
        <v>703</v>
      </c>
      <c r="B21" s="44">
        <v>1816</v>
      </c>
      <c r="C21" s="39">
        <f>20*LOG10(4*PI()*B21*1000/(299792458/($B$5*1000000)))</f>
        <v>150.41982989095641</v>
      </c>
      <c r="D21" s="39">
        <f>$B$6+$B$7-$B$8-C21-$B$9-$B$10-$B$11+$B$18-$B$15</f>
        <v>55.680170109043587</v>
      </c>
      <c r="E21" s="45">
        <f>D21-10*LOG10(9600)-$B$14</f>
        <v>5.8574577786479054</v>
      </c>
      <c r="F21" s="45">
        <f>D21-10*LOG10(19200)-$B$14</f>
        <v>2.8471578220080929</v>
      </c>
      <c r="G21" s="45">
        <f>D21-10*LOG10(38400)-$B$14</f>
        <v>-0.16314213463171967</v>
      </c>
    </row>
    <row r="22" spans="1:7" x14ac:dyDescent="0.3">
      <c r="A22" s="26" t="s">
        <v>704</v>
      </c>
      <c r="B22" s="44">
        <v>1002</v>
      </c>
      <c r="C22" s="39">
        <f>20*LOG10(4*PI()*B22*1000/(299792458/($B$5*1000000)))</f>
        <v>145.25486743787962</v>
      </c>
      <c r="D22" s="39">
        <f>$B$6+$B$7-$B$8-C22-$B$9-$B$10-$B$11+$B$18-$B$15</f>
        <v>60.845132562120369</v>
      </c>
      <c r="E22" s="45">
        <f>D22-10*LOG10(9600)-$B$14</f>
        <v>11.022420231724688</v>
      </c>
      <c r="F22" s="45">
        <f>D22-10*LOG10(19200)-$B$14</f>
        <v>8.0121202750848752</v>
      </c>
      <c r="G22" s="45">
        <f>D22-10*LOG10(38400)-$B$14</f>
        <v>5.0018203184450627</v>
      </c>
    </row>
    <row r="23" spans="1:7" x14ac:dyDescent="0.3">
      <c r="A23" s="26" t="s">
        <v>705</v>
      </c>
      <c r="B23" s="44">
        <v>550</v>
      </c>
      <c r="C23" s="39">
        <f>20*LOG10(4*PI()*B23*1000/(299792458/($B$5*1000000)))</f>
        <v>140.04476679713997</v>
      </c>
      <c r="D23" s="39">
        <f>$B$6+$B$7-$B$8-C23-$B$9-$B$10-$B$11+$B$18-$B$15</f>
        <v>66.055233202860023</v>
      </c>
      <c r="E23" s="45">
        <f>D23-10*LOG10(9600)-$B$14</f>
        <v>16.232520872464342</v>
      </c>
      <c r="F23" s="45">
        <f>D23-10*LOG10(19200)-$B$14</f>
        <v>13.222220915824529</v>
      </c>
      <c r="G23" s="45">
        <f>D23-10*LOG10(38400)-$B$14</f>
        <v>10.211920959184717</v>
      </c>
    </row>
    <row r="25" spans="1:7" x14ac:dyDescent="0.3">
      <c r="A25" s="5" t="s">
        <v>706</v>
      </c>
    </row>
    <row r="26" spans="1:7" x14ac:dyDescent="0.3">
      <c r="A26" s="26" t="s">
        <v>707</v>
      </c>
      <c r="B26" s="39">
        <f>10*LOG10(B16)+30+B12-2-C21-B9-B10-B8+B7</f>
        <v>-97.43012984759622</v>
      </c>
      <c r="C26" s="19" t="s">
        <v>708</v>
      </c>
    </row>
    <row r="27" spans="1:7" x14ac:dyDescent="0.3">
      <c r="A27" s="21" t="s">
        <v>709</v>
      </c>
      <c r="B27" s="45">
        <f>B26-B17</f>
        <v>24.56987015240378</v>
      </c>
      <c r="C27" s="19" t="s">
        <v>680</v>
      </c>
    </row>
    <row r="29" spans="1:7" ht="42" customHeight="1" x14ac:dyDescent="0.3">
      <c r="A29" s="47" t="s">
        <v>710</v>
      </c>
      <c r="B29" s="48"/>
      <c r="C29" s="48"/>
      <c r="D29" s="48"/>
      <c r="E29" s="48"/>
      <c r="F29" s="48"/>
      <c r="G29" s="48"/>
    </row>
  </sheetData>
  <mergeCells count="1">
    <mergeCell ref="A29:G29"/>
  </mergeCells>
  <conditionalFormatting sqref="B27">
    <cfRule type="cellIs" dxfId="7" priority="3" operator="lessThan">
      <formula>0</formula>
    </cfRule>
    <cfRule type="cellIs" dxfId="6" priority="4" operator="greaterThanOrEqual">
      <formula>0</formula>
    </cfRule>
  </conditionalFormatting>
  <conditionalFormatting sqref="E21:G23">
    <cfRule type="cellIs" dxfId="5" priority="1" operator="lessThan">
      <formula>0</formula>
    </cfRule>
    <cfRule type="cellIs" dxfId="4" priority="2" operator="greaterThanOrEqual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548235"/>
  </sheetPr>
  <dimension ref="A1:E23"/>
  <sheetViews>
    <sheetView showGridLines="0" workbookViewId="0"/>
  </sheetViews>
  <sheetFormatPr baseColWidth="10" defaultColWidth="8.88671875" defaultRowHeight="14.4" x14ac:dyDescent="0.3"/>
  <cols>
    <col min="1" max="1" width="40" customWidth="1"/>
    <col min="2" max="2" width="12" customWidth="1"/>
    <col min="3" max="3" width="4" customWidth="1"/>
    <col min="4" max="4" width="50" customWidth="1"/>
    <col min="5" max="5" width="12" customWidth="1"/>
    <col min="6" max="6" width="4" customWidth="1"/>
  </cols>
  <sheetData>
    <row r="1" spans="1:5" ht="16.8" x14ac:dyDescent="0.3">
      <c r="A1" s="1" t="s">
        <v>711</v>
      </c>
    </row>
    <row r="4" spans="1:5" ht="30" customHeight="1" x14ac:dyDescent="0.3">
      <c r="A4" s="3" t="s">
        <v>712</v>
      </c>
      <c r="B4" s="3" t="s">
        <v>713</v>
      </c>
      <c r="D4" s="3" t="s">
        <v>714</v>
      </c>
      <c r="E4" s="3" t="s">
        <v>715</v>
      </c>
    </row>
    <row r="5" spans="1:5" ht="26.4" x14ac:dyDescent="0.3">
      <c r="A5" s="26" t="s">
        <v>716</v>
      </c>
      <c r="B5" s="30">
        <v>200</v>
      </c>
      <c r="D5" s="26" t="s">
        <v>717</v>
      </c>
      <c r="E5" s="30">
        <v>7</v>
      </c>
    </row>
    <row r="6" spans="1:5" x14ac:dyDescent="0.3">
      <c r="A6" s="26" t="s">
        <v>718</v>
      </c>
      <c r="B6" s="30">
        <v>40</v>
      </c>
      <c r="D6" s="26" t="s">
        <v>719</v>
      </c>
      <c r="E6" s="30">
        <v>25</v>
      </c>
    </row>
    <row r="7" spans="1:5" ht="26.4" x14ac:dyDescent="0.3">
      <c r="A7" s="26" t="s">
        <v>720</v>
      </c>
      <c r="B7" s="30">
        <v>160</v>
      </c>
      <c r="D7" s="26" t="s">
        <v>721</v>
      </c>
      <c r="E7" s="30">
        <v>15</v>
      </c>
    </row>
    <row r="8" spans="1:5" x14ac:dyDescent="0.3">
      <c r="A8" s="26" t="s">
        <v>722</v>
      </c>
      <c r="B8" s="30">
        <v>60</v>
      </c>
      <c r="D8" s="26" t="s">
        <v>723</v>
      </c>
      <c r="E8" s="30">
        <v>12</v>
      </c>
    </row>
    <row r="9" spans="1:5" x14ac:dyDescent="0.3">
      <c r="A9" s="26" t="s">
        <v>724</v>
      </c>
      <c r="B9" s="30">
        <v>115</v>
      </c>
      <c r="D9" s="26" t="s">
        <v>725</v>
      </c>
      <c r="E9" s="30">
        <v>30</v>
      </c>
    </row>
    <row r="10" spans="1:5" x14ac:dyDescent="0.3">
      <c r="A10" s="26" t="s">
        <v>726</v>
      </c>
      <c r="B10" s="30">
        <v>60</v>
      </c>
      <c r="D10" s="5" t="s">
        <v>727</v>
      </c>
      <c r="E10" s="22">
        <f>SUM(E5:E9)</f>
        <v>89</v>
      </c>
    </row>
    <row r="11" spans="1:5" x14ac:dyDescent="0.3">
      <c r="A11" s="26" t="s">
        <v>728</v>
      </c>
      <c r="B11" s="30">
        <v>25</v>
      </c>
      <c r="D11" s="19" t="s">
        <v>729</v>
      </c>
      <c r="E11" s="46">
        <v>98.4</v>
      </c>
    </row>
    <row r="12" spans="1:5" x14ac:dyDescent="0.3">
      <c r="A12" s="26" t="s">
        <v>730</v>
      </c>
      <c r="B12" s="30">
        <v>90</v>
      </c>
      <c r="D12" s="5" t="s">
        <v>731</v>
      </c>
      <c r="E12" s="43">
        <f>E11-E10</f>
        <v>9.4000000000000057</v>
      </c>
    </row>
    <row r="13" spans="1:5" x14ac:dyDescent="0.3">
      <c r="A13" s="26" t="s">
        <v>732</v>
      </c>
      <c r="B13" s="30">
        <v>60</v>
      </c>
    </row>
    <row r="14" spans="1:5" ht="78" customHeight="1" x14ac:dyDescent="0.3">
      <c r="A14" s="26" t="s">
        <v>733</v>
      </c>
      <c r="B14" s="30">
        <v>23</v>
      </c>
      <c r="D14" s="47" t="s">
        <v>734</v>
      </c>
      <c r="E14" s="48"/>
    </row>
    <row r="15" spans="1:5" x14ac:dyDescent="0.3">
      <c r="A15" s="26" t="s">
        <v>735</v>
      </c>
      <c r="B15" s="30">
        <v>10</v>
      </c>
    </row>
    <row r="16" spans="1:5" x14ac:dyDescent="0.3">
      <c r="A16" s="26" t="s">
        <v>723</v>
      </c>
      <c r="B16" s="30">
        <v>60</v>
      </c>
    </row>
    <row r="17" spans="1:2" x14ac:dyDescent="0.3">
      <c r="A17" s="26" t="s">
        <v>736</v>
      </c>
      <c r="B17" s="30">
        <v>120</v>
      </c>
    </row>
    <row r="18" spans="1:2" x14ac:dyDescent="0.3">
      <c r="A18" s="5" t="s">
        <v>737</v>
      </c>
      <c r="B18" s="22">
        <f>SUM(B5:B17)</f>
        <v>1023</v>
      </c>
    </row>
    <row r="19" spans="1:2" x14ac:dyDescent="0.3">
      <c r="A19" s="19" t="s">
        <v>738</v>
      </c>
      <c r="B19" s="32">
        <v>0.2</v>
      </c>
    </row>
    <row r="20" spans="1:2" x14ac:dyDescent="0.3">
      <c r="A20" s="5" t="s">
        <v>739</v>
      </c>
      <c r="B20" s="22">
        <f>B18*(1+B19)</f>
        <v>1227.5999999999999</v>
      </c>
    </row>
    <row r="21" spans="1:2" x14ac:dyDescent="0.3">
      <c r="A21" s="19" t="s">
        <v>740</v>
      </c>
      <c r="B21" s="30">
        <v>2000</v>
      </c>
    </row>
    <row r="22" spans="1:2" x14ac:dyDescent="0.3">
      <c r="A22" s="5" t="s">
        <v>741</v>
      </c>
      <c r="B22" s="42">
        <f>B20/B21</f>
        <v>0.6137999999999999</v>
      </c>
    </row>
    <row r="23" spans="1:2" x14ac:dyDescent="0.3">
      <c r="A23" s="19" t="s">
        <v>742</v>
      </c>
      <c r="B23" s="12" t="str">
        <f>IF(B20&lt;=B21,"Cumple","NO cumple")</f>
        <v>Cumple</v>
      </c>
    </row>
  </sheetData>
  <mergeCells count="1">
    <mergeCell ref="D14:E14"/>
  </mergeCells>
  <conditionalFormatting sqref="B23">
    <cfRule type="expression" dxfId="3" priority="1">
      <formula>LEFT(B23,2)="NO"</formula>
    </cfRule>
    <cfRule type="expression" dxfId="2" priority="2">
      <formula>LEFT(B23,2)&lt;&gt;"NO"</formula>
    </cfRule>
  </conditionalFormatting>
  <conditionalFormatting sqref="E12">
    <cfRule type="cellIs" dxfId="1" priority="3" operator="lessThan">
      <formula>0</formula>
    </cfRule>
    <cfRule type="cellIs" dxfId="0" priority="4" operator="greaterThanOr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Índice</vt:lpstr>
      <vt:lpstr>Requisitos</vt:lpstr>
      <vt:lpstr>Especificaciones</vt:lpstr>
      <vt:lpstr>Trazabilidad</vt:lpstr>
      <vt:lpstr>D1 Procesamiento</vt:lpstr>
      <vt:lpstr>D2 Enlace</vt:lpstr>
      <vt:lpstr>D3 ADCS</vt:lpstr>
      <vt:lpstr>D4-D8 Cualitativas</vt:lpstr>
      <vt:lpstr>Supuestos órbita</vt:lpstr>
      <vt:lpstr>Presup. Potencia</vt:lpstr>
      <vt:lpstr>Presup. Datos</vt:lpstr>
      <vt:lpstr>Presup. Cómputo</vt:lpstr>
      <vt:lpstr>Balance Enlace</vt:lpstr>
      <vt:lpstr>Masa y Volumen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Jose Vasquez Urrutia</cp:lastModifiedBy>
  <dcterms:created xsi:type="dcterms:W3CDTF">2026-09-27T23:04:06Z</dcterms:created>
  <dcterms:modified xsi:type="dcterms:W3CDTF">2026-09-27T23:04:24Z</dcterms:modified>
</cp:coreProperties>
</file>